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MPRESAS BONILLA\macros sire\"/>
    </mc:Choice>
  </mc:AlternateContent>
  <xr:revisionPtr revIDLastSave="0" documentId="13_ncr:8001_{6F097DB4-9DDF-427F-BA8E-6A078358B00D}" xr6:coauthVersionLast="47" xr6:coauthVersionMax="47" xr10:uidLastSave="{00000000-0000-0000-0000-000000000000}"/>
  <bookViews>
    <workbookView xWindow="-120" yWindow="-120" windowWidth="29040" windowHeight="15990" tabRatio="616" firstSheet="1" activeTab="2" xr2:uid="{423F4C43-4924-4027-A8AB-273FBE53B678}"/>
  </bookViews>
  <sheets>
    <sheet name="Hoja1" sheetId="10" state="hidden" r:id="rId1"/>
    <sheet name="TXT" sheetId="9" r:id="rId2"/>
    <sheet name="ANEXO 2-AGREGAR" sheetId="3" r:id="rId3"/>
    <sheet name="ANEXO 3-COMP O REEM" sheetId="2" r:id="rId4"/>
    <sheet name="ANEXO 4-AJUSTE SIRE" sheetId="5" r:id="rId5"/>
    <sheet name="ANEXO 5-AJUSTE PLE PORT" sheetId="7" r:id="rId6"/>
    <sheet name="ANEXO 5-AJUSTE PLE PORT SIMP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2" i="3" l="1"/>
  <c r="R12" i="3"/>
  <c r="AJ17" i="3" l="1"/>
  <c r="Q19" i="8"/>
  <c r="R19" i="8"/>
  <c r="S19" i="8"/>
  <c r="S20" i="8" s="1"/>
  <c r="O19" i="8"/>
  <c r="P19" i="8" l="1"/>
  <c r="R20" i="8" s="1"/>
  <c r="R21" i="8" s="1"/>
  <c r="AA19" i="7"/>
  <c r="AA20" i="7" s="1"/>
  <c r="Z19" i="7"/>
  <c r="Y19" i="7"/>
  <c r="X19" i="7"/>
  <c r="W19" i="7"/>
  <c r="V19" i="7"/>
  <c r="U19" i="7"/>
  <c r="T19" i="7"/>
  <c r="S19" i="7"/>
  <c r="Q19" i="7"/>
  <c r="P19" i="7"/>
  <c r="O19" i="7"/>
  <c r="AB19" i="5"/>
  <c r="AB20" i="5" s="1"/>
  <c r="AA19" i="5"/>
  <c r="Z19" i="5"/>
  <c r="Y19" i="5"/>
  <c r="X19" i="5"/>
  <c r="W19" i="5"/>
  <c r="V19" i="5"/>
  <c r="U19" i="5"/>
  <c r="T19" i="5"/>
  <c r="S19" i="5"/>
  <c r="R19" i="5"/>
  <c r="Q19" i="5"/>
  <c r="P19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AB12" i="3"/>
  <c r="AB13" i="3" s="1"/>
  <c r="AA12" i="3"/>
  <c r="Z12" i="3"/>
  <c r="Y12" i="3"/>
  <c r="X12" i="3"/>
  <c r="W12" i="3"/>
  <c r="V12" i="3"/>
  <c r="U12" i="3"/>
  <c r="T12" i="3"/>
  <c r="S12" i="3"/>
  <c r="P12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Q18" i="2"/>
  <c r="R18" i="2"/>
  <c r="S18" i="2"/>
  <c r="T18" i="2"/>
  <c r="U18" i="2"/>
  <c r="V18" i="2"/>
  <c r="W18" i="2"/>
  <c r="X18" i="2"/>
  <c r="Y18" i="2"/>
  <c r="Z18" i="2"/>
  <c r="AA18" i="2"/>
  <c r="AB18" i="2"/>
  <c r="AB19" i="2" s="1"/>
  <c r="P18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R19" i="7" l="1"/>
  <c r="Z20" i="7" s="1"/>
  <c r="Z21" i="7" s="1"/>
  <c r="AA13" i="3"/>
  <c r="AA14" i="3" s="1"/>
  <c r="AA20" i="5"/>
  <c r="AA21" i="5" s="1"/>
  <c r="AA19" i="2"/>
  <c r="AA2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AI19" authorId="0" shapeId="0" xr:uid="{B87676C4-0D5C-47A1-9098-FB93AADB42C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Aplicable SOLO para los Operadores de las sociedades irregulares, consorcios, joint ventures u otras formas de contratos de colaboración empresarial, que NO lleven contabilidad independiente. 
Este campo se llena con la IDENTIFICACION de cada contrato o proyecto.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AI25" authorId="0" shapeId="0" xr:uid="{FEFC2784-7B6D-4DF9-A4C0-310DD4A6F88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Aplicable SOLO para los Operadores de las sociedades irregulares, consorcios, joint ventures u otras formas de contratos de colaboración empresarial, que NO lleven contabilidad independiente. 
Este campo se llena con la IDENTIFICACION de cada contrato o proyecto.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AI26" authorId="0" shapeId="0" xr:uid="{5153C670-E6D2-4954-84CF-BE1381298F1B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Aplicable SOLO para los Operadores de las sociedades irregulares, consorcios, joint ventures u otras formas de contratos de colaboración empresarial, que NO lleven contabilidad independiente. 
Este campo se llena con la IDENTIFICACION de cada contrato o proyecto.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AH26" authorId="0" shapeId="0" xr:uid="{3C9BD952-E09B-4592-BBC0-8ADDED1FA9D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Aplicable SOLO para los Operadores de las sociedades irregulares, consorcios, joint ventures u otras formas de contratos de colaboración empresarial, que NO lleven contabilidad independiente. 
Este campo se llena con la IDENTIFICACION de cada contrato o proyecto.</t>
        </r>
      </text>
    </comment>
    <comment ref="AJ26" authorId="0" shapeId="0" xr:uid="{C6AC8ACC-9A40-435E-AF35-BABADEFE5B8E}">
      <text>
        <r>
          <rPr>
            <b/>
            <sz val="9"/>
            <color indexed="81"/>
            <rFont val="Tahoma"/>
            <family val="2"/>
          </rPr>
          <t>Poner 1</t>
        </r>
        <r>
          <rPr>
            <sz val="9"/>
            <color indexed="81"/>
            <rFont val="Tahoma"/>
            <family val="2"/>
          </rPr>
          <t xml:space="preserve"> si el comprobante de pago fue cancelado con algún </t>
        </r>
        <r>
          <rPr>
            <b/>
            <sz val="9"/>
            <color indexed="81"/>
            <rFont val="Tahoma"/>
            <family val="2"/>
          </rPr>
          <t>medio de pago</t>
        </r>
        <r>
          <rPr>
            <sz val="9"/>
            <color indexed="81"/>
            <rFont val="Tahoma"/>
            <family val="2"/>
          </rPr>
          <t xml:space="preserve"> establecido en la </t>
        </r>
        <r>
          <rPr>
            <b/>
            <sz val="9"/>
            <color indexed="81"/>
            <rFont val="Tahoma"/>
            <family val="2"/>
          </rPr>
          <t>Tabla 1,</t>
        </r>
        <r>
          <rPr>
            <sz val="9"/>
            <color indexed="81"/>
            <rFont val="Tahoma"/>
            <family val="2"/>
          </rPr>
          <t xml:space="preserve"> caso contrario dejar en blanco.</t>
        </r>
      </text>
    </comment>
    <comment ref="AK26" authorId="0" shapeId="0" xr:uid="{A2500869-1FB3-49B5-84A9-E19A42815C5A}">
      <text>
        <r>
          <rPr>
            <sz val="9"/>
            <color indexed="81"/>
            <rFont val="Tahoma"/>
            <family val="2"/>
          </rPr>
          <t xml:space="preserve">Poner estado </t>
        </r>
        <r>
          <rPr>
            <b/>
            <sz val="9"/>
            <color indexed="81"/>
            <rFont val="Tahoma"/>
            <family val="2"/>
          </rPr>
          <t xml:space="preserve">8 ó 9 </t>
        </r>
        <r>
          <rPr>
            <sz val="9"/>
            <color indexed="81"/>
            <rFont val="Tahoma"/>
            <family val="2"/>
          </rPr>
          <t>, según sea el caso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AA26" authorId="0" shapeId="0" xr:uid="{D3C939DF-BD3A-4343-85B5-F85B74D9114B}">
      <text>
        <r>
          <rPr>
            <b/>
            <sz val="9"/>
            <color indexed="81"/>
            <rFont val="Tahoma"/>
            <family val="2"/>
          </rPr>
          <t>Poner 1</t>
        </r>
        <r>
          <rPr>
            <sz val="9"/>
            <color indexed="81"/>
            <rFont val="Tahoma"/>
            <family val="2"/>
          </rPr>
          <t xml:space="preserve"> si el comprobante de pago fue cancelado con algún </t>
        </r>
        <r>
          <rPr>
            <b/>
            <sz val="9"/>
            <color indexed="81"/>
            <rFont val="Tahoma"/>
            <family val="2"/>
          </rPr>
          <t>medio de pago</t>
        </r>
        <r>
          <rPr>
            <sz val="9"/>
            <color indexed="81"/>
            <rFont val="Tahoma"/>
            <family val="2"/>
          </rPr>
          <t xml:space="preserve"> establecido en la </t>
        </r>
        <r>
          <rPr>
            <b/>
            <sz val="9"/>
            <color indexed="81"/>
            <rFont val="Tahoma"/>
            <family val="2"/>
          </rPr>
          <t>Tabla 1,</t>
        </r>
        <r>
          <rPr>
            <sz val="9"/>
            <color indexed="81"/>
            <rFont val="Tahoma"/>
            <family val="2"/>
          </rPr>
          <t xml:space="preserve"> caso contrario dejar en blanco.</t>
        </r>
      </text>
    </comment>
    <comment ref="AB26" authorId="0" shapeId="0" xr:uid="{D62AF1D9-83E9-413A-9B14-FD3871791844}">
      <text>
        <r>
          <rPr>
            <sz val="9"/>
            <color indexed="81"/>
            <rFont val="Tahoma"/>
            <family val="2"/>
          </rPr>
          <t xml:space="preserve">Poner estado </t>
        </r>
        <r>
          <rPr>
            <b/>
            <sz val="9"/>
            <color indexed="81"/>
            <rFont val="Tahoma"/>
            <family val="2"/>
          </rPr>
          <t xml:space="preserve">8 ó 9 </t>
        </r>
        <r>
          <rPr>
            <sz val="9"/>
            <color indexed="81"/>
            <rFont val="Tahoma"/>
            <family val="2"/>
          </rPr>
          <t>, según sea el caso</t>
        </r>
      </text>
    </comment>
  </commentList>
</comments>
</file>

<file path=xl/sharedStrings.xml><?xml version="1.0" encoding="utf-8"?>
<sst xmlns="http://schemas.openxmlformats.org/spreadsheetml/2006/main" count="807" uniqueCount="246">
  <si>
    <t>LERRRRRRRRRRRAAAAMM0014040002OIM2.TXT</t>
  </si>
  <si>
    <t>VALIDAD.</t>
  </si>
  <si>
    <t>C.</t>
  </si>
  <si>
    <t>41 al 57</t>
  </si>
  <si>
    <t>N.</t>
  </si>
  <si>
    <t>RUC</t>
  </si>
  <si>
    <t>ID - Razon Social</t>
  </si>
  <si>
    <t>Periodo</t>
  </si>
  <si>
    <t>CAR SUNAT</t>
  </si>
  <si>
    <t>Fecha de emisión</t>
  </si>
  <si>
    <t>FechaVcto / Pago</t>
  </si>
  <si>
    <t>TipoCP / Doc.</t>
  </si>
  <si>
    <t>Serie del CDP</t>
  </si>
  <si>
    <t>Nro Cp o Doc. Nro Inicial (Rango)</t>
  </si>
  <si>
    <t>Nro Final (Rango)</t>
  </si>
  <si>
    <t>Tipo Doc Identidad</t>
  </si>
  <si>
    <t>Nro Doc Identidad</t>
  </si>
  <si>
    <t>Apellidos Nombres / Razón Social</t>
  </si>
  <si>
    <t>EXPORTACION</t>
  </si>
  <si>
    <t>BASE IMPONIBLE GRAVADA</t>
  </si>
  <si>
    <t>DESCUENTO BASE IMPONIBLE GRAVADA</t>
  </si>
  <si>
    <t>IGV 18% Y 10%</t>
  </si>
  <si>
    <t>DESCUENTO IGV  18% Y 10%</t>
  </si>
  <si>
    <t>EXONERADO</t>
  </si>
  <si>
    <t>INAFECTO</t>
  </si>
  <si>
    <t>I.S.C</t>
  </si>
  <si>
    <t>BASE IMPONIBLE IVAP - ARROZ PILADO</t>
  </si>
  <si>
    <t>IVAP - ARROZ PILADO</t>
  </si>
  <si>
    <t>ICBPER-BOLSAS</t>
  </si>
  <si>
    <t>OTROS CONCEPTOS / TRIBUTOS</t>
  </si>
  <si>
    <t>IMPORTE TOTAL</t>
  </si>
  <si>
    <t>MONEDA</t>
  </si>
  <si>
    <t>TIPO DE CAMBIO</t>
  </si>
  <si>
    <t>FECHA DE EMISION Doc Modificado</t>
  </si>
  <si>
    <t>TIPO Doc Modificado</t>
  </si>
  <si>
    <t>SERIE Doc Modificado</t>
  </si>
  <si>
    <t>NUMERO Doc Modificado</t>
  </si>
  <si>
    <t>IDENTIFICACION DEL PROYECTO</t>
  </si>
  <si>
    <t>ESTUDIO DE ASESORIA EMPRESARIAL LA ROSA E.I.R.L.</t>
  </si>
  <si>
    <t>03</t>
  </si>
  <si>
    <t>EB01</t>
  </si>
  <si>
    <t>PEN</t>
  </si>
  <si>
    <t>202305</t>
  </si>
  <si>
    <t>DIFERENCIA</t>
  </si>
  <si>
    <t>GRIFO SERVITOR S.A.</t>
  </si>
  <si>
    <t>SHALOM EXPRESS S.A.C.</t>
  </si>
  <si>
    <t>36 al 70</t>
  </si>
  <si>
    <t>Periodo de ajuste</t>
  </si>
  <si>
    <t>CUO</t>
  </si>
  <si>
    <t>CORRELATIVO</t>
  </si>
  <si>
    <t>Error tipo 1</t>
  </si>
  <si>
    <t xml:space="preserve">Indicador de CP cancelado con medio de pago </t>
  </si>
  <si>
    <t>Estado</t>
  </si>
  <si>
    <t>020006</t>
  </si>
  <si>
    <t>M020006</t>
  </si>
  <si>
    <t>01</t>
  </si>
  <si>
    <t>E001</t>
  </si>
  <si>
    <t>1</t>
  </si>
  <si>
    <t>42 al 57</t>
  </si>
  <si>
    <t>9</t>
  </si>
  <si>
    <t>020008</t>
  </si>
  <si>
    <t>020009</t>
  </si>
  <si>
    <t>020010</t>
  </si>
  <si>
    <t>020025</t>
  </si>
  <si>
    <t>020026</t>
  </si>
  <si>
    <t>M020008</t>
  </si>
  <si>
    <t>M020009</t>
  </si>
  <si>
    <t>M020010</t>
  </si>
  <si>
    <t>M020025</t>
  </si>
  <si>
    <t>M020026</t>
  </si>
  <si>
    <t>07</t>
  </si>
  <si>
    <t>08</t>
  </si>
  <si>
    <t>MIAMI CHICKEN GRILL S.A.C.</t>
  </si>
  <si>
    <t>FIORELA VILLA SAENZ</t>
  </si>
  <si>
    <t>USD</t>
  </si>
  <si>
    <t>Tiene detraccion</t>
  </si>
  <si>
    <t>8</t>
  </si>
  <si>
    <t>27 al 52</t>
  </si>
  <si>
    <t>Registros</t>
  </si>
  <si>
    <t>TABLA 6: ESTRUCTURAS E INFORMACIÓN DEL REGISTRO ELECTRÓNICO – RVIE</t>
  </si>
  <si>
    <t>Código</t>
  </si>
  <si>
    <r>
      <rPr>
        <b/>
        <sz val="11"/>
        <color theme="0"/>
        <rFont val="Calibri"/>
        <family val="2"/>
        <scheme val="minor"/>
      </rPr>
      <t>Estructura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del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nombre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del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archivo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(1)</t>
    </r>
  </si>
  <si>
    <r>
      <rPr>
        <sz val="11"/>
        <color rgb="FF231F1F"/>
        <rFont val="Calibri"/>
        <family val="2"/>
        <scheme val="minor"/>
      </rPr>
      <t>Registro de Ventas e Ingresos</t>
    </r>
  </si>
  <si>
    <t>REGISTRO DE VENTAS E INGRESOS CUANDO ACEPTA LA PROPUESTA</t>
  </si>
  <si>
    <t>ANEXO 2</t>
  </si>
  <si>
    <r>
      <rPr>
        <sz val="11"/>
        <color rgb="FF231F1F"/>
        <rFont val="Calibri"/>
        <family val="2"/>
        <scheme val="minor"/>
      </rPr>
      <t>REGISTRO DE VENTAS E INGRESOS CUANDO REEMPLAZA LA PROPUESTA</t>
    </r>
  </si>
  <si>
    <t>ANEXO 3</t>
  </si>
  <si>
    <r>
      <rPr>
        <sz val="11"/>
        <color rgb="FF231F1F"/>
        <rFont val="Calibri"/>
        <family val="2"/>
        <scheme val="minor"/>
      </rPr>
      <t>REPORTE DE AJUSTES POSTERIORES</t>
    </r>
  </si>
  <si>
    <t>ANEXO 4</t>
  </si>
  <si>
    <r>
      <rPr>
        <sz val="11"/>
        <color theme="1"/>
        <rFont val="Calibri"/>
        <family val="2"/>
        <scheme val="minor"/>
      </rPr>
      <t>REPORTE DE AJUSTES POSTERIORES DE PERIODOS ANTERIORES AL NUEVO SISTEMA DE REGISTROS - FORMATO GENERAL</t>
    </r>
  </si>
  <si>
    <r>
      <t xml:space="preserve">ANEXO 5 (Cuando en el PLE  o Portal usaste el Registro de Ventas </t>
    </r>
    <r>
      <rPr>
        <sz val="11"/>
        <color rgb="FFFF0000"/>
        <rFont val="Calibri"/>
        <family val="2"/>
        <scheme val="minor"/>
      </rPr>
      <t>completo 14.1</t>
    </r>
    <r>
      <rPr>
        <sz val="11"/>
        <color theme="1"/>
        <rFont val="Calibri"/>
        <family val="2"/>
        <scheme val="minor"/>
      </rPr>
      <t>)</t>
    </r>
  </si>
  <si>
    <r>
      <rPr>
        <sz val="11"/>
        <color theme="1"/>
        <rFont val="Calibri"/>
        <family val="2"/>
        <scheme val="minor"/>
      </rPr>
      <t>REPORTE DE AJUSTES POSTERIORES DE PERIODOS ANTERIORES AL NUEVO SISTEMA DE REGISTROS - FORMATO SIMPLIFICADO</t>
    </r>
  </si>
  <si>
    <r>
      <t xml:space="preserve">ANEXO 5 (Cuando en el PLE  o Portal usaste el Registro de Ventas </t>
    </r>
    <r>
      <rPr>
        <sz val="11"/>
        <color rgb="FFFF0000"/>
        <rFont val="Calibri"/>
        <family val="2"/>
        <scheme val="minor"/>
      </rPr>
      <t>simplificado 14.2</t>
    </r>
    <r>
      <rPr>
        <sz val="11"/>
        <color theme="1"/>
        <rFont val="Calibri"/>
        <family val="2"/>
        <scheme val="minor"/>
      </rPr>
      <t>)</t>
    </r>
  </si>
  <si>
    <t>1) Se detalla lo que significa cada parte de la estructura del nombre</t>
  </si>
  <si>
    <t>Posición</t>
  </si>
  <si>
    <t>Nemotécnico</t>
  </si>
  <si>
    <t>Descripción</t>
  </si>
  <si>
    <r>
      <rPr>
        <sz val="11"/>
        <color rgb="FF231F1F"/>
        <rFont val="Calibri"/>
        <family val="2"/>
        <scheme val="minor"/>
      </rPr>
      <t>01-02</t>
    </r>
  </si>
  <si>
    <t>LE</t>
  </si>
  <si>
    <t>Identiﬁcador ﬁjo 'LE'</t>
  </si>
  <si>
    <r>
      <rPr>
        <sz val="11"/>
        <color rgb="FF231F1F"/>
        <rFont val="Calibri"/>
        <family val="2"/>
        <scheme val="minor"/>
      </rPr>
      <t>03-13</t>
    </r>
  </si>
  <si>
    <r>
      <rPr>
        <sz val="11"/>
        <color rgb="FF231F1F"/>
        <rFont val="Calibri"/>
        <family val="2"/>
        <scheme val="minor"/>
      </rPr>
      <t>RRRRRRRRRRR</t>
    </r>
  </si>
  <si>
    <r>
      <rPr>
        <sz val="11"/>
        <color rgb="FF231F1F"/>
        <rFont val="Calibri"/>
        <family val="2"/>
        <scheme val="minor"/>
      </rPr>
      <t>RUC del deudor tributario</t>
    </r>
  </si>
  <si>
    <r>
      <rPr>
        <sz val="11"/>
        <color rgb="FF231F1F"/>
        <rFont val="Calibri"/>
        <family val="2"/>
        <scheme val="minor"/>
      </rPr>
      <t>14-17</t>
    </r>
  </si>
  <si>
    <r>
      <rPr>
        <sz val="11"/>
        <color rgb="FF231F1F"/>
        <rFont val="Calibri"/>
        <family val="2"/>
        <scheme val="minor"/>
      </rPr>
      <t>AAAA</t>
    </r>
  </si>
  <si>
    <r>
      <rPr>
        <sz val="11"/>
        <color rgb="FF231F1F"/>
        <rFont val="Calibri"/>
        <family val="2"/>
        <scheme val="minor"/>
      </rPr>
      <t>Año, aplica a todos los libros</t>
    </r>
  </si>
  <si>
    <r>
      <rPr>
        <sz val="11"/>
        <color rgb="FF231F1F"/>
        <rFont val="Calibri"/>
        <family val="2"/>
        <scheme val="minor"/>
      </rPr>
      <t>18-19</t>
    </r>
  </si>
  <si>
    <r>
      <rPr>
        <sz val="11"/>
        <color rgb="FF231F1F"/>
        <rFont val="Calibri"/>
        <family val="2"/>
        <scheme val="minor"/>
      </rPr>
      <t>MM</t>
    </r>
  </si>
  <si>
    <t>Mes, aplica a los libros de periodicidad mensual, para los demás consigne '00':</t>
  </si>
  <si>
    <r>
      <rPr>
        <sz val="11"/>
        <color rgb="FF231F1F"/>
        <rFont val="Calibri"/>
        <family val="2"/>
        <scheme val="minor"/>
      </rPr>
      <t>14. Registro de Ventas e Ingresos</t>
    </r>
  </si>
  <si>
    <r>
      <rPr>
        <sz val="11"/>
        <color rgb="FF231F1F"/>
        <rFont val="Calibri"/>
        <family val="2"/>
        <scheme val="minor"/>
      </rPr>
      <t>20-21</t>
    </r>
  </si>
  <si>
    <r>
      <rPr>
        <sz val="11"/>
        <color rgb="FF231F1F"/>
        <rFont val="Calibri"/>
        <family val="2"/>
        <scheme val="minor"/>
      </rPr>
      <t>DD</t>
    </r>
  </si>
  <si>
    <r>
      <rPr>
        <sz val="11"/>
        <color rgb="FF231F1F"/>
        <rFont val="Calibri"/>
        <family val="2"/>
        <scheme val="minor"/>
      </rPr>
      <t>Para el RVIE se considera '00'</t>
    </r>
  </si>
  <si>
    <r>
      <rPr>
        <sz val="11"/>
        <color rgb="FF231F1F"/>
        <rFont val="Calibri"/>
        <family val="2"/>
        <scheme val="minor"/>
      </rPr>
      <t>22-27</t>
    </r>
  </si>
  <si>
    <t>LLLLLL</t>
  </si>
  <si>
    <t>Identiﬁcador del libro</t>
  </si>
  <si>
    <t>28-29</t>
  </si>
  <si>
    <r>
      <rPr>
        <sz val="11"/>
        <color rgb="FF231F1F"/>
        <rFont val="Calibri"/>
        <family val="2"/>
        <scheme val="minor"/>
      </rPr>
      <t>CC</t>
    </r>
  </si>
  <si>
    <t>RVIE Cuando acepta la propuesta</t>
  </si>
  <si>
    <t>RVIE Cuando reemplaza la propuesta</t>
  </si>
  <si>
    <t>RVIE Cuando realiza ajustes posteriores</t>
  </si>
  <si>
    <t>Reporte de Ajustes Posteriores de Periodos Anteriores al Nuevo Sistema de Registros - Formato General</t>
  </si>
  <si>
    <t>Reporte de Ajustes Posteriores de Periodos Anteriores al Nuevo Sistema de Registros - Formato Simpliﬁcado</t>
  </si>
  <si>
    <r>
      <rPr>
        <sz val="11"/>
        <color rgb="FF231F1F"/>
        <rFont val="Calibri"/>
        <family val="2"/>
        <scheme val="minor"/>
      </rPr>
      <t>30-30</t>
    </r>
  </si>
  <si>
    <r>
      <rPr>
        <sz val="11"/>
        <color rgb="FF231F1F"/>
        <rFont val="Calibri"/>
        <family val="2"/>
        <scheme val="minor"/>
      </rPr>
      <t>O</t>
    </r>
  </si>
  <si>
    <r>
      <rPr>
        <sz val="11"/>
        <color rgb="FF231F1F"/>
        <rFont val="Calibri"/>
        <family val="2"/>
        <scheme val="minor"/>
      </rPr>
      <t>Indicador de operaciones</t>
    </r>
  </si>
  <si>
    <r>
      <rPr>
        <sz val="11"/>
        <color rgb="FF231F1F"/>
        <rFont val="Calibri"/>
        <family val="2"/>
        <scheme val="minor"/>
      </rPr>
      <t>Cierre de operaciones - baja de inscripción en el RUC</t>
    </r>
  </si>
  <si>
    <r>
      <rPr>
        <sz val="11"/>
        <color rgb="FF231F1F"/>
        <rFont val="Calibri"/>
        <family val="2"/>
        <scheme val="minor"/>
      </rPr>
      <t>Empresa o entidad operativa</t>
    </r>
  </si>
  <si>
    <r>
      <rPr>
        <sz val="11"/>
        <color rgb="FF231F1F"/>
        <rFont val="Calibri"/>
        <family val="2"/>
        <scheme val="minor"/>
      </rPr>
      <t>Cierre del libro - no obligado a llevarlo</t>
    </r>
  </si>
  <si>
    <r>
      <rPr>
        <sz val="11"/>
        <color rgb="FF231F1F"/>
        <rFont val="Calibri"/>
        <family val="2"/>
        <scheme val="minor"/>
      </rPr>
      <t>31-31</t>
    </r>
  </si>
  <si>
    <r>
      <rPr>
        <sz val="11"/>
        <color rgb="FF231F1F"/>
        <rFont val="Calibri"/>
        <family val="2"/>
        <scheme val="minor"/>
      </rPr>
      <t>I</t>
    </r>
  </si>
  <si>
    <r>
      <rPr>
        <sz val="11"/>
        <color rgb="FF231F1F"/>
        <rFont val="Calibri"/>
        <family val="2"/>
        <scheme val="minor"/>
      </rPr>
      <t>Indicador del contenido del libro o registro</t>
    </r>
  </si>
  <si>
    <r>
      <rPr>
        <sz val="11"/>
        <color rgb="FF231F1F"/>
        <rFont val="Calibri"/>
        <family val="2"/>
        <scheme val="minor"/>
      </rPr>
      <t>Con información</t>
    </r>
  </si>
  <si>
    <r>
      <rPr>
        <sz val="11"/>
        <color rgb="FF231F1F"/>
        <rFont val="Calibri"/>
        <family val="2"/>
        <scheme val="minor"/>
      </rPr>
      <t>Sin información</t>
    </r>
  </si>
  <si>
    <r>
      <rPr>
        <sz val="11"/>
        <color rgb="FF231F1F"/>
        <rFont val="Calibri"/>
        <family val="2"/>
        <scheme val="minor"/>
      </rPr>
      <t>32-32</t>
    </r>
  </si>
  <si>
    <r>
      <rPr>
        <sz val="11"/>
        <color rgb="FF231F1F"/>
        <rFont val="Calibri"/>
        <family val="2"/>
        <scheme val="minor"/>
      </rPr>
      <t>M</t>
    </r>
  </si>
  <si>
    <r>
      <rPr>
        <sz val="11"/>
        <color rgb="FF231F1F"/>
        <rFont val="Calibri"/>
        <family val="2"/>
        <scheme val="minor"/>
      </rPr>
      <t>Indicador de la moneda utilizada</t>
    </r>
  </si>
  <si>
    <r>
      <rPr>
        <sz val="11"/>
        <color rgb="FF231F1F"/>
        <rFont val="Calibri"/>
        <family val="2"/>
        <scheme val="minor"/>
      </rPr>
      <t>Soles</t>
    </r>
  </si>
  <si>
    <r>
      <rPr>
        <sz val="11"/>
        <color rgb="FF231F1F"/>
        <rFont val="Calibri"/>
        <family val="2"/>
        <scheme val="minor"/>
      </rPr>
      <t>US dólares</t>
    </r>
  </si>
  <si>
    <r>
      <rPr>
        <sz val="11"/>
        <color rgb="FF231F1F"/>
        <rFont val="Calibri"/>
        <family val="2"/>
        <scheme val="minor"/>
      </rPr>
      <t>33-33</t>
    </r>
  </si>
  <si>
    <r>
      <rPr>
        <sz val="11"/>
        <color rgb="FF231F1F"/>
        <rFont val="Calibri"/>
        <family val="2"/>
        <scheme val="minor"/>
      </rPr>
      <t>G</t>
    </r>
  </si>
  <si>
    <t>Generado por nuevo sistema - MIGE IGV ( Fijo)</t>
  </si>
  <si>
    <r>
      <rPr>
        <sz val="11"/>
        <color rgb="FF231F1F"/>
        <rFont val="Calibri"/>
        <family val="2"/>
        <scheme val="minor"/>
      </rPr>
      <t>34-34</t>
    </r>
  </si>
  <si>
    <r>
      <rPr>
        <sz val="11"/>
        <color rgb="FF231F1F"/>
        <rFont val="Calibri"/>
        <family val="2"/>
        <scheme val="minor"/>
      </rPr>
      <t>N</t>
    </r>
  </si>
  <si>
    <r>
      <rPr>
        <sz val="11"/>
        <color rgb="FF231F1F"/>
        <rFont val="Calibri"/>
        <family val="2"/>
        <scheme val="minor"/>
      </rPr>
      <t>Correlativo de los ajustes posteriores</t>
    </r>
  </si>
  <si>
    <t xml:space="preserve">ESTRUCTURA E INFORMACIÓN DEL ARCHIVO TEXTO PARA COMPLEMENTAR LA PROPUESTA DEL </t>
  </si>
  <si>
    <t>RVIE CON COMPROBANTES DE PAGO FÍSICOS</t>
  </si>
  <si>
    <r>
      <rPr>
        <b/>
        <sz val="11"/>
        <color theme="0"/>
        <rFont val="Calibri"/>
        <family val="2"/>
        <scheme val="minor"/>
      </rPr>
      <t>Importación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de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Comprobantes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de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Pago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Físicos</t>
    </r>
  </si>
  <si>
    <r>
      <rPr>
        <b/>
        <sz val="11"/>
        <color theme="0"/>
        <rFont val="Calibri"/>
        <family val="2"/>
        <scheme val="minor"/>
      </rPr>
      <t>Libros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y</t>
    </r>
    <r>
      <rPr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Registros</t>
    </r>
  </si>
  <si>
    <r>
      <rPr>
        <sz val="11"/>
        <color rgb="FF231F1F"/>
        <rFont val="Calibri"/>
        <family val="2"/>
        <scheme val="minor"/>
      </rPr>
      <t>IMPORTACIÓN DE COMPROBANTES DE PAGO FÍSICOS</t>
    </r>
  </si>
  <si>
    <t>RRRRRRRRRRR-CPF-AAAAMM-Correlativo.txt</t>
  </si>
  <si>
    <t>(1) Se detalla lo que significa cada parte de la estructura del nombre</t>
  </si>
  <si>
    <r>
      <rPr>
        <sz val="11"/>
        <color rgb="FF231F1F"/>
        <rFont val="Calibri"/>
        <family val="2"/>
        <scheme val="minor"/>
      </rPr>
      <t>01-11</t>
    </r>
  </si>
  <si>
    <r>
      <rPr>
        <sz val="11"/>
        <color rgb="FF231F1F"/>
        <rFont val="Calibri"/>
        <family val="2"/>
        <scheme val="minor"/>
      </rPr>
      <t>(-)</t>
    </r>
  </si>
  <si>
    <r>
      <rPr>
        <sz val="11"/>
        <color rgb="FF231F1F"/>
        <rFont val="Calibri"/>
        <family val="2"/>
        <scheme val="minor"/>
      </rPr>
      <t>Separador</t>
    </r>
  </si>
  <si>
    <r>
      <rPr>
        <sz val="11"/>
        <color rgb="FF231F1F"/>
        <rFont val="Calibri"/>
        <family val="2"/>
        <scheme val="minor"/>
      </rPr>
      <t>13-15</t>
    </r>
  </si>
  <si>
    <r>
      <rPr>
        <sz val="11"/>
        <color rgb="FF231F1F"/>
        <rFont val="Calibri"/>
        <family val="2"/>
        <scheme val="minor"/>
      </rPr>
      <t>CPF</t>
    </r>
  </si>
  <si>
    <r>
      <rPr>
        <sz val="11"/>
        <color rgb="FF231F1F"/>
        <rFont val="Calibri"/>
        <family val="2"/>
        <scheme val="minor"/>
      </rPr>
      <t>Comprobante de Pago Físico</t>
    </r>
  </si>
  <si>
    <r>
      <rPr>
        <sz val="11"/>
        <color rgb="FF231F1F"/>
        <rFont val="Calibri"/>
        <family val="2"/>
        <scheme val="minor"/>
      </rPr>
      <t>17-20</t>
    </r>
  </si>
  <si>
    <r>
      <rPr>
        <sz val="11"/>
        <color rgb="FF231F1F"/>
        <rFont val="Calibri"/>
        <family val="2"/>
        <scheme val="minor"/>
      </rPr>
      <t>Año</t>
    </r>
  </si>
  <si>
    <r>
      <rPr>
        <sz val="11"/>
        <color rgb="FF231F1F"/>
        <rFont val="Calibri"/>
        <family val="2"/>
        <scheme val="minor"/>
      </rPr>
      <t>21-22</t>
    </r>
  </si>
  <si>
    <r>
      <rPr>
        <sz val="11"/>
        <color rgb="FF231F1F"/>
        <rFont val="Calibri"/>
        <family val="2"/>
        <scheme val="minor"/>
      </rPr>
      <t>Mes</t>
    </r>
  </si>
  <si>
    <r>
      <rPr>
        <sz val="11"/>
        <color rgb="FF231F1F"/>
        <rFont val="Calibri"/>
        <family val="2"/>
        <scheme val="minor"/>
      </rPr>
      <t>24-25</t>
    </r>
  </si>
  <si>
    <r>
      <rPr>
        <sz val="11"/>
        <color rgb="FF231F1F"/>
        <rFont val="Calibri"/>
        <family val="2"/>
        <scheme val="minor"/>
      </rPr>
      <t>Correlativo</t>
    </r>
  </si>
  <si>
    <t>Empezando desde 01 hasta el último envío</t>
  </si>
  <si>
    <t>RESOLUCIÓN DE SUPERINTENDENCIA Nº 000112-2021/SUNAT</t>
  </si>
  <si>
    <t>RESPECTO A LO ANOTADO EN EL PLE O PORTAL</t>
  </si>
  <si>
    <t>Indicador de libro electrónico generado por el MIGE IGV/RVIE</t>
  </si>
  <si>
    <t>Codigo del libro</t>
  </si>
  <si>
    <t>Mes</t>
  </si>
  <si>
    <t>Año</t>
  </si>
  <si>
    <t>05</t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</si>
  <si>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RRRRRRRRRRRAAAAMM</t>
    </r>
    <r>
      <rPr>
        <b/>
        <sz val="11"/>
        <color rgb="FF9857EF"/>
        <rFont val="Calibri"/>
        <family val="2"/>
        <scheme val="minor"/>
      </rPr>
      <t>00</t>
    </r>
    <r>
      <rPr>
        <b/>
        <sz val="11"/>
        <color rgb="FF926EEC"/>
        <rFont val="Calibri"/>
        <family val="2"/>
        <scheme val="minor"/>
      </rPr>
      <t>140400</t>
    </r>
    <r>
      <rPr>
        <b/>
        <sz val="11"/>
        <color rgb="FF00B050"/>
        <rFont val="Calibri"/>
        <family val="2"/>
        <scheme val="minor"/>
      </rPr>
      <t>02</t>
    </r>
    <r>
      <rPr>
        <b/>
        <sz val="11"/>
        <color rgb="FF231F1F"/>
        <rFont val="Calibri"/>
        <family val="2"/>
        <scheme val="minor"/>
      </rPr>
      <t>OIM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rgb="FF231F1F"/>
        <rFont val="Calibri"/>
        <family val="2"/>
        <scheme val="minor"/>
      </rPr>
      <t>.TXT</t>
    </r>
  </si>
  <si>
    <t>Dia</t>
  </si>
  <si>
    <t>00</t>
  </si>
  <si>
    <t>Código de oportunidad de presentación del RVIE/RCE:</t>
  </si>
  <si>
    <r>
      <t>RRRRRRRRRRR-</t>
    </r>
    <r>
      <rPr>
        <b/>
        <sz val="11"/>
        <color rgb="FF9857EF"/>
        <rFont val="Calibri"/>
        <family val="2"/>
        <scheme val="minor"/>
      </rPr>
      <t>CPF</t>
    </r>
    <r>
      <rPr>
        <b/>
        <sz val="11"/>
        <color theme="1"/>
        <rFont val="Calibri"/>
        <family val="2"/>
        <scheme val="minor"/>
      </rPr>
      <t>-AAAAMM-Correlativo.txt</t>
    </r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</si>
  <si>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20602891683202305</t>
    </r>
    <r>
      <rPr>
        <b/>
        <sz val="11"/>
        <color rgb="FF9857EF"/>
        <rFont val="Calibri"/>
        <family val="2"/>
        <scheme val="minor"/>
      </rPr>
      <t>00</t>
    </r>
    <r>
      <rPr>
        <b/>
        <sz val="11"/>
        <color rgb="FF926EEC"/>
        <rFont val="Calibri"/>
        <family val="2"/>
        <scheme val="minor"/>
      </rPr>
      <t>140400</t>
    </r>
    <r>
      <rPr>
        <b/>
        <sz val="11"/>
        <color rgb="FF00B050"/>
        <rFont val="Calibri"/>
        <family val="2"/>
        <scheme val="minor"/>
      </rPr>
      <t>02</t>
    </r>
    <r>
      <rPr>
        <b/>
        <sz val="11"/>
        <color theme="1"/>
        <rFont val="Calibri"/>
        <family val="2"/>
        <scheme val="minor"/>
      </rPr>
      <t>111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rgb="FF231F1F"/>
        <rFont val="Calibri"/>
        <family val="2"/>
        <scheme val="minor"/>
      </rPr>
      <t>.TXT</t>
    </r>
  </si>
  <si>
    <t>Ejemplo</t>
  </si>
  <si>
    <t>Archivo a exportar</t>
  </si>
  <si>
    <t>Codigo</t>
  </si>
  <si>
    <t>CPF</t>
  </si>
  <si>
    <t>Correlativo</t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</si>
  <si>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RRRRRRRRRRRAAAAMM</t>
    </r>
    <r>
      <rPr>
        <b/>
        <sz val="11"/>
        <color rgb="FF9857EF"/>
        <rFont val="Calibri"/>
        <family val="2"/>
        <scheme val="minor"/>
      </rPr>
      <t>00</t>
    </r>
    <r>
      <rPr>
        <b/>
        <sz val="11"/>
        <color rgb="FF926EEC"/>
        <rFont val="Calibri"/>
        <family val="2"/>
        <scheme val="minor"/>
      </rPr>
      <t>140400</t>
    </r>
    <r>
      <rPr>
        <b/>
        <sz val="11"/>
        <color rgb="FF00B050"/>
        <rFont val="Calibri"/>
        <family val="2"/>
        <scheme val="minor"/>
      </rPr>
      <t>04</t>
    </r>
    <r>
      <rPr>
        <b/>
        <sz val="11"/>
        <color rgb="FF231F1F"/>
        <rFont val="Calibri"/>
        <family val="2"/>
        <scheme val="minor"/>
      </rPr>
      <t>OIM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rgb="FF231F1F"/>
        <rFont val="Calibri"/>
        <family val="2"/>
        <scheme val="minor"/>
      </rPr>
      <t>NN.TXT</t>
    </r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</si>
  <si>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20602891683202305</t>
    </r>
    <r>
      <rPr>
        <b/>
        <sz val="11"/>
        <color rgb="FF9857EF"/>
        <rFont val="Calibri"/>
        <family val="2"/>
        <scheme val="minor"/>
      </rPr>
      <t>00</t>
    </r>
    <r>
      <rPr>
        <b/>
        <sz val="11"/>
        <color rgb="FF926EEC"/>
        <rFont val="Calibri"/>
        <family val="2"/>
        <scheme val="minor"/>
      </rPr>
      <t>140400</t>
    </r>
    <r>
      <rPr>
        <b/>
        <sz val="11"/>
        <color rgb="FF00B050"/>
        <rFont val="Calibri"/>
        <family val="2"/>
        <scheme val="minor"/>
      </rPr>
      <t>03</t>
    </r>
    <r>
      <rPr>
        <b/>
        <sz val="11"/>
        <color theme="1"/>
        <rFont val="Calibri"/>
        <family val="2"/>
        <scheme val="minor"/>
      </rPr>
      <t>111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01</t>
    </r>
    <r>
      <rPr>
        <b/>
        <sz val="11"/>
        <color rgb="FF231F1F"/>
        <rFont val="Calibri"/>
        <family val="2"/>
        <scheme val="minor"/>
      </rPr>
      <t>.TXT</t>
    </r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</si>
  <si>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RRRRRRRRRRRAAAAMM</t>
    </r>
    <r>
      <rPr>
        <b/>
        <sz val="11"/>
        <color rgb="FF9857EF"/>
        <rFont val="Calibri"/>
        <family val="2"/>
        <scheme val="minor"/>
      </rPr>
      <t>001</t>
    </r>
    <r>
      <rPr>
        <b/>
        <sz val="11"/>
        <color rgb="FF926EEC"/>
        <rFont val="Calibri"/>
        <family val="2"/>
        <scheme val="minor"/>
      </rPr>
      <t>40400</t>
    </r>
    <r>
      <rPr>
        <b/>
        <sz val="11"/>
        <color rgb="FF00B050"/>
        <rFont val="Calibri"/>
        <family val="2"/>
        <scheme val="minor"/>
      </rPr>
      <t>03</t>
    </r>
    <r>
      <rPr>
        <b/>
        <sz val="11"/>
        <color rgb="FF231F1F"/>
        <rFont val="Calibri"/>
        <family val="2"/>
        <scheme val="minor"/>
      </rPr>
      <t>OIM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rgb="FF231F1F"/>
        <rFont val="Calibri"/>
        <family val="2"/>
        <scheme val="minor"/>
      </rPr>
      <t>NN.TXT</t>
    </r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</si>
  <si>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RRRRRRRRRRRAAAAMM</t>
    </r>
    <r>
      <rPr>
        <b/>
        <sz val="11"/>
        <color rgb="FF9857EF"/>
        <rFont val="Calibri"/>
        <family val="2"/>
        <scheme val="minor"/>
      </rPr>
      <t>00</t>
    </r>
    <r>
      <rPr>
        <b/>
        <sz val="11"/>
        <color rgb="FF926EEC"/>
        <rFont val="Calibri"/>
        <family val="2"/>
        <scheme val="minor"/>
      </rPr>
      <t>140400</t>
    </r>
    <r>
      <rPr>
        <b/>
        <sz val="11"/>
        <color rgb="FF00B050"/>
        <rFont val="Calibri"/>
        <family val="2"/>
        <scheme val="minor"/>
      </rPr>
      <t>01</t>
    </r>
    <r>
      <rPr>
        <b/>
        <sz val="11"/>
        <color rgb="FF231F1F"/>
        <rFont val="Calibri"/>
        <family val="2"/>
        <scheme val="minor"/>
      </rPr>
      <t>OIM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rgb="FF231F1F"/>
        <rFont val="Calibri"/>
        <family val="2"/>
        <scheme val="minor"/>
      </rPr>
      <t>.TXT</t>
    </r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</si>
  <si>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RRRRRRRRRRRAAAAMM</t>
    </r>
    <r>
      <rPr>
        <b/>
        <sz val="11"/>
        <color rgb="FF9857EF"/>
        <rFont val="Calibri"/>
        <family val="2"/>
        <scheme val="minor"/>
      </rPr>
      <t>00</t>
    </r>
    <r>
      <rPr>
        <b/>
        <sz val="11"/>
        <color rgb="FF926EEC"/>
        <rFont val="Calibri"/>
        <family val="2"/>
        <scheme val="minor"/>
      </rPr>
      <t>140400</t>
    </r>
    <r>
      <rPr>
        <b/>
        <sz val="11"/>
        <color rgb="FF00B050"/>
        <rFont val="Calibri"/>
        <family val="2"/>
        <scheme val="minor"/>
      </rPr>
      <t>03</t>
    </r>
    <r>
      <rPr>
        <b/>
        <sz val="11"/>
        <color rgb="FF231F1F"/>
        <rFont val="Calibri"/>
        <family val="2"/>
        <scheme val="minor"/>
      </rPr>
      <t>OIM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rgb="FF231F1F"/>
        <rFont val="Calibri"/>
        <family val="2"/>
        <scheme val="minor"/>
      </rPr>
      <t>NN.TXT</t>
    </r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</si>
  <si>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RRRRRRRRRRRAAAAMM</t>
    </r>
    <r>
      <rPr>
        <b/>
        <sz val="11"/>
        <color rgb="FF9857EF"/>
        <rFont val="Calibri"/>
        <family val="2"/>
        <scheme val="minor"/>
      </rPr>
      <t>00</t>
    </r>
    <r>
      <rPr>
        <b/>
        <sz val="11"/>
        <color rgb="FF926EEC"/>
        <rFont val="Calibri"/>
        <family val="2"/>
        <scheme val="minor"/>
      </rPr>
      <t>140400</t>
    </r>
    <r>
      <rPr>
        <b/>
        <sz val="11"/>
        <color rgb="FF00B050"/>
        <rFont val="Calibri"/>
        <family val="2"/>
        <scheme val="minor"/>
      </rPr>
      <t>05</t>
    </r>
    <r>
      <rPr>
        <b/>
        <sz val="11"/>
        <color rgb="FF231F1F"/>
        <rFont val="Calibri"/>
        <family val="2"/>
        <scheme val="minor"/>
      </rPr>
      <t>OIM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rgb="FF231F1F"/>
        <rFont val="Calibri"/>
        <family val="2"/>
        <scheme val="minor"/>
      </rPr>
      <t>NN.TXT</t>
    </r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</si>
  <si>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20602891683202305</t>
    </r>
    <r>
      <rPr>
        <b/>
        <sz val="11"/>
        <color rgb="FF9857EF"/>
        <rFont val="Calibri"/>
        <family val="2"/>
        <scheme val="minor"/>
      </rPr>
      <t>00</t>
    </r>
    <r>
      <rPr>
        <b/>
        <sz val="11"/>
        <color rgb="FF926EEC"/>
        <rFont val="Calibri"/>
        <family val="2"/>
        <scheme val="minor"/>
      </rPr>
      <t>140400</t>
    </r>
    <r>
      <rPr>
        <b/>
        <sz val="11"/>
        <color rgb="FF00B050"/>
        <rFont val="Calibri"/>
        <family val="2"/>
        <scheme val="minor"/>
      </rPr>
      <t>04</t>
    </r>
    <r>
      <rPr>
        <b/>
        <sz val="11"/>
        <color theme="1"/>
        <rFont val="Calibri"/>
        <family val="2"/>
        <scheme val="minor"/>
      </rPr>
      <t>111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01</t>
    </r>
    <r>
      <rPr>
        <b/>
        <sz val="11"/>
        <color rgb="FF231F1F"/>
        <rFont val="Calibri"/>
        <family val="2"/>
        <scheme val="minor"/>
      </rPr>
      <t>.TXT</t>
    </r>
  </si>
  <si>
    <t>Correlativo de los ajustes posteriores</t>
  </si>
  <si>
    <t xml:space="preserve">RVIE Cuando realiza ajustes posteriores </t>
  </si>
  <si>
    <r>
      <rPr>
        <b/>
        <sz val="11"/>
        <color rgb="FF926EEC"/>
        <rFont val="Calibri"/>
        <family val="2"/>
        <scheme val="minor"/>
      </rPr>
      <t>LE</t>
    </r>
    <r>
      <rPr>
        <b/>
        <sz val="11"/>
        <color rgb="FF231F1F"/>
        <rFont val="Calibri"/>
        <family val="2"/>
        <scheme val="minor"/>
      </rPr>
      <t>20602891683202305</t>
    </r>
    <r>
      <rPr>
        <b/>
        <sz val="11"/>
        <color rgb="FF9857EF"/>
        <rFont val="Calibri"/>
        <family val="2"/>
        <scheme val="minor"/>
      </rPr>
      <t>00</t>
    </r>
    <r>
      <rPr>
        <b/>
        <sz val="11"/>
        <color rgb="FF926EEC"/>
        <rFont val="Calibri"/>
        <family val="2"/>
        <scheme val="minor"/>
      </rPr>
      <t>140400</t>
    </r>
    <r>
      <rPr>
        <b/>
        <sz val="11"/>
        <color rgb="FF00B050"/>
        <rFont val="Calibri"/>
        <family val="2"/>
        <scheme val="minor"/>
      </rPr>
      <t>05</t>
    </r>
    <r>
      <rPr>
        <b/>
        <sz val="11"/>
        <color theme="1"/>
        <rFont val="Calibri"/>
        <family val="2"/>
        <scheme val="minor"/>
      </rPr>
      <t>111</t>
    </r>
    <r>
      <rPr>
        <b/>
        <sz val="11"/>
        <color rgb="FF926EEC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01</t>
    </r>
    <r>
      <rPr>
        <b/>
        <sz val="11"/>
        <color rgb="FF231F1F"/>
        <rFont val="Calibri"/>
        <family val="2"/>
        <scheme val="minor"/>
      </rPr>
      <t>.TXT</t>
    </r>
  </si>
  <si>
    <t>Puede ser 01, 02, 03, etc. Según el correlativo que corresponde.</t>
  </si>
  <si>
    <t>LA PROPUESTA RVIE - AGREGAR CP FISICOS</t>
  </si>
  <si>
    <t xml:space="preserve">ANEXO 2: ESTRUCTURA PARA COMPLEMENTAR </t>
  </si>
  <si>
    <t xml:space="preserve">ANEXO 5 - ESTRUCTURA PARA AJUSTES POSTERIORES </t>
  </si>
  <si>
    <t>02</t>
  </si>
  <si>
    <t>04</t>
  </si>
  <si>
    <t>RESPECTO A LO ANOTADO EN EL RVIE SIRE</t>
  </si>
  <si>
    <t>ANEXO 4 -ESTRUCTURA PARA AJUSTES POSTERIORES</t>
  </si>
  <si>
    <t>RESPECTO A LO ANOTADO EN EL PLE O PORTAL - SIMPLIFICADO</t>
  </si>
  <si>
    <t>CAMPOS DE LIBRE UTILIZACIÓN</t>
  </si>
  <si>
    <t>LISTA</t>
  </si>
  <si>
    <t>LISTA2</t>
  </si>
  <si>
    <t>06</t>
  </si>
  <si>
    <t>09</t>
  </si>
  <si>
    <t>10</t>
  </si>
  <si>
    <t>11</t>
  </si>
  <si>
    <t>12</t>
  </si>
  <si>
    <t>LISTA3</t>
  </si>
  <si>
    <t xml:space="preserve">  </t>
  </si>
  <si>
    <t>20602891683</t>
  </si>
  <si>
    <t>0001</t>
  </si>
  <si>
    <t>TieneDetraccion</t>
  </si>
  <si>
    <t>387</t>
  </si>
  <si>
    <t>01/05/2023</t>
  </si>
  <si>
    <t>CAR CP A MODIFICAR (27 DIGITOS)</t>
  </si>
  <si>
    <t>LA PROPUESTA RVIE O REEMPLAZAR</t>
  </si>
  <si>
    <t>ESTADO</t>
  </si>
  <si>
    <t xml:space="preserve">TieneDetraccion </t>
  </si>
  <si>
    <t>M020035</t>
  </si>
  <si>
    <t>020035</t>
  </si>
  <si>
    <t>ANEXO 3: ESTRUCTURA PARA COMPARAR</t>
  </si>
  <si>
    <t xml:space="preserve">YouTube: </t>
  </si>
  <si>
    <t>https://www.youtube.com/@LuceroLaRosaC</t>
  </si>
  <si>
    <t>Facebook:</t>
  </si>
  <si>
    <t>https://www.facebook.com/grupolrperu/</t>
  </si>
  <si>
    <t>https://wa.link/4zybul</t>
  </si>
  <si>
    <t xml:space="preserve">WhatsApp: </t>
  </si>
  <si>
    <t xml:space="preserve"> 977 916 713</t>
  </si>
  <si>
    <r>
      <t>20602891683-</t>
    </r>
    <r>
      <rPr>
        <b/>
        <sz val="11"/>
        <color rgb="FF9857EF"/>
        <rFont val="Calibri"/>
        <family val="2"/>
        <scheme val="minor"/>
      </rPr>
      <t>CPF</t>
    </r>
    <r>
      <rPr>
        <b/>
        <sz val="11"/>
        <color theme="1"/>
        <rFont val="Calibri"/>
        <family val="2"/>
        <scheme val="minor"/>
      </rPr>
      <t>-202305-1.txt</t>
    </r>
  </si>
  <si>
    <t>0 Cierre o baja de RUC  / 1 Empresa operativa  / 2 Cierre de libro</t>
  </si>
  <si>
    <t>1 Con información / 0 Sin información</t>
  </si>
  <si>
    <t>1 Soles  / 2 Dólares</t>
  </si>
  <si>
    <t>2033412959501E0010000000100</t>
  </si>
  <si>
    <t>2012274629201E0010000000101</t>
  </si>
  <si>
    <t>2037815713801E0010000000102</t>
  </si>
  <si>
    <t>0007678988703EB010000000384</t>
  </si>
  <si>
    <t>0000000000003EB010000000385</t>
  </si>
  <si>
    <t>2033412959507E0010000000002</t>
  </si>
  <si>
    <t>2037815713808E0010000000003</t>
  </si>
  <si>
    <t>20221000</t>
  </si>
  <si>
    <t>01/10/2022</t>
  </si>
  <si>
    <t>01/05/2022</t>
  </si>
  <si>
    <t>Puede ser 01, 02 ,03 , etc. Según el correlativo que corresponde.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</si>
</sst>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"/>
    <numFmt numFmtId="166" formatCode="00"/>
    <numFmt numFmtId="167" formatCode="yyyy\-mm\-dd"/>
    <numFmt numFmtId="168" formatCode="0.00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sz val="20"/>
      <color theme="1" tint="0.249977111117893"/>
      <name val="Calibri"/>
      <family val="2"/>
      <scheme val="minor"/>
    </font>
    <font>
      <b/>
      <sz val="18"/>
      <color theme="1" tint="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.5"/>
      <name val="Calibri"/>
      <family val="2"/>
      <scheme val="minor"/>
    </font>
    <font>
      <b/>
      <sz val="11.5"/>
      <color theme="0"/>
      <name val="Calibri"/>
      <family val="2"/>
      <scheme val="minor"/>
    </font>
    <font>
      <sz val="11"/>
      <color rgb="FF0A0A0A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.5"/>
      <color rgb="FFFFC000"/>
      <name val="Calibri"/>
      <family val="2"/>
      <scheme val="minor"/>
    </font>
    <font>
      <b/>
      <sz val="11.5"/>
      <color rgb="FFFFC000"/>
      <name val="Calibri"/>
      <family val="2"/>
      <scheme val="minor"/>
    </font>
    <font>
      <b/>
      <sz val="16.5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231F1F"/>
      <name val="Calibri"/>
      <family val="2"/>
      <scheme val="minor"/>
    </font>
    <font>
      <b/>
      <sz val="11"/>
      <color rgb="FF926EEC"/>
      <name val="Calibri"/>
      <family val="2"/>
      <scheme val="minor"/>
    </font>
    <font>
      <b/>
      <sz val="11"/>
      <color rgb="FF231F1F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926EEC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rgb="FF9857EF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7C630"/>
        <bgColor indexed="64"/>
      </patternFill>
    </fill>
    <fill>
      <patternFill patternType="solid">
        <fgColor rgb="FFA6E38D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CCF6"/>
        <bgColor indexed="64"/>
      </patternFill>
    </fill>
    <fill>
      <patternFill patternType="solid">
        <fgColor rgb="FFBD075E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32487A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231F1F"/>
      </left>
      <right style="thin">
        <color rgb="FF231F1F"/>
      </right>
      <top/>
      <bottom style="thin">
        <color rgb="FF231F1F"/>
      </bottom>
      <diagonal/>
    </border>
    <border>
      <left style="thin">
        <color rgb="FF231F1F"/>
      </left>
      <right/>
      <top/>
      <bottom style="thin">
        <color rgb="FF231F1F"/>
      </bottom>
      <diagonal/>
    </border>
    <border>
      <left/>
      <right style="thin">
        <color rgb="FF231F1F"/>
      </right>
      <top/>
      <bottom style="thin">
        <color rgb="FF231F1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231F1F"/>
      </left>
      <right style="thin">
        <color rgb="FF231F1F"/>
      </right>
      <top style="thin">
        <color rgb="FF231F1F"/>
      </top>
      <bottom style="thin">
        <color rgb="FF231F1F"/>
      </bottom>
      <diagonal/>
    </border>
    <border>
      <left style="thin">
        <color rgb="FF231F1F"/>
      </left>
      <right/>
      <top style="thin">
        <color rgb="FF231F1F"/>
      </top>
      <bottom style="thin">
        <color rgb="FF231F1F"/>
      </bottom>
      <diagonal/>
    </border>
    <border>
      <left/>
      <right style="thin">
        <color rgb="FF231F1F"/>
      </right>
      <top style="thin">
        <color rgb="FF231F1F"/>
      </top>
      <bottom style="thin">
        <color rgb="FF231F1F"/>
      </bottom>
      <diagonal/>
    </border>
    <border>
      <left/>
      <right/>
      <top/>
      <bottom style="thin">
        <color rgb="FF231F1F"/>
      </bottom>
      <diagonal/>
    </border>
    <border>
      <left/>
      <right/>
      <top style="thin">
        <color rgb="FF231F1F"/>
      </top>
      <bottom style="thin">
        <color rgb="FF231F1F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 applyNumberFormat="0" applyFill="0" applyBorder="0" applyAlignment="0" applyProtection="0"/>
  </cellStyleXfs>
  <cellXfs count="235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 applyProtection="1">
      <alignment horizontal="left"/>
      <protection locked="0"/>
    </xf>
    <xf numFmtId="49" fontId="17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2" fontId="0" fillId="0" borderId="0" xfId="0" applyNumberFormat="1" applyAlignment="1" applyProtection="1">
      <alignment horizontal="right" vertical="center"/>
      <protection locked="0"/>
    </xf>
    <xf numFmtId="49" fontId="17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2" fillId="16" borderId="6" xfId="0" applyFont="1" applyFill="1" applyBorder="1" applyAlignment="1">
      <alignment horizontal="center" vertical="center" wrapText="1"/>
    </xf>
    <xf numFmtId="1" fontId="29" fillId="0" borderId="7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29" fillId="0" borderId="11" xfId="0" applyFont="1" applyBorder="1" applyAlignment="1">
      <alignment horizontal="left" vertical="center" wrapText="1"/>
    </xf>
    <xf numFmtId="1" fontId="30" fillId="0" borderId="12" xfId="0" applyNumberFormat="1" applyFont="1" applyBorder="1" applyAlignment="1">
      <alignment horizontal="center" vertical="center" shrinkToFit="1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/>
    </xf>
    <xf numFmtId="0" fontId="6" fillId="0" borderId="7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34" fillId="0" borderId="0" xfId="0" applyFont="1" applyAlignment="1">
      <alignment horizontal="left" vertical="center"/>
    </xf>
    <xf numFmtId="0" fontId="29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8" xfId="0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49" fontId="0" fillId="0" borderId="0" xfId="0" applyNumberFormat="1" applyProtection="1">
      <protection locked="0"/>
    </xf>
    <xf numFmtId="167" fontId="0" fillId="0" borderId="0" xfId="0" applyNumberFormat="1" applyAlignment="1" applyProtection="1">
      <alignment horizontal="left"/>
      <protection locked="0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" fontId="0" fillId="0" borderId="0" xfId="1" applyNumberFormat="1" applyFont="1" applyFill="1" applyAlignment="1" applyProtection="1">
      <alignment horizontal="right" vertical="center"/>
      <protection locked="0"/>
    </xf>
    <xf numFmtId="2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2" fontId="17" fillId="0" borderId="0" xfId="1" applyNumberFormat="1" applyFont="1" applyAlignment="1" applyProtection="1">
      <alignment horizontal="right" vertical="center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3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3" fillId="0" borderId="16" xfId="0" applyFont="1" applyBorder="1" applyAlignment="1" applyProtection="1">
      <alignment vertical="center"/>
      <protection locked="0"/>
    </xf>
    <xf numFmtId="49" fontId="33" fillId="0" borderId="0" xfId="0" applyNumberFormat="1" applyFont="1" applyAlignment="1" applyProtection="1">
      <alignment vertical="center"/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167" fontId="0" fillId="0" borderId="0" xfId="0" applyNumberFormat="1" applyProtection="1">
      <protection locked="0"/>
    </xf>
    <xf numFmtId="49" fontId="31" fillId="0" borderId="0" xfId="0" applyNumberFormat="1" applyFont="1" applyAlignment="1" applyProtection="1">
      <alignment horizontal="left" vertical="center" shrinkToFit="1"/>
      <protection locked="0"/>
    </xf>
    <xf numFmtId="49" fontId="36" fillId="0" borderId="0" xfId="0" quotePrefix="1" applyNumberFormat="1" applyFont="1" applyAlignment="1" applyProtection="1">
      <alignment horizontal="left" vertical="center" shrinkToFit="1"/>
      <protection locked="0"/>
    </xf>
    <xf numFmtId="49" fontId="31" fillId="0" borderId="0" xfId="0" quotePrefix="1" applyNumberFormat="1" applyFont="1" applyAlignment="1" applyProtection="1">
      <alignment horizontal="left" vertical="center" shrinkToFit="1"/>
      <protection locked="0"/>
    </xf>
    <xf numFmtId="49" fontId="0" fillId="0" borderId="0" xfId="0" applyNumberForma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 hidden="1"/>
    </xf>
    <xf numFmtId="0" fontId="5" fillId="2" borderId="0" xfId="0" applyFont="1" applyFill="1" applyAlignment="1" applyProtection="1">
      <alignment horizontal="center"/>
      <protection locked="0" hidden="1"/>
    </xf>
    <xf numFmtId="49" fontId="5" fillId="2" borderId="0" xfId="0" applyNumberFormat="1" applyFont="1" applyFill="1" applyAlignment="1" applyProtection="1">
      <alignment horizontal="left"/>
      <protection locked="0" hidden="1"/>
    </xf>
    <xf numFmtId="49" fontId="5" fillId="2" borderId="0" xfId="0" applyNumberFormat="1" applyFont="1" applyFill="1" applyAlignment="1" applyProtection="1">
      <alignment horizontal="center"/>
      <protection locked="0" hidden="1"/>
    </xf>
    <xf numFmtId="0" fontId="6" fillId="2" borderId="0" xfId="0" applyFont="1" applyFill="1" applyAlignment="1" applyProtection="1">
      <alignment horizontal="center"/>
      <protection locked="0" hidden="1"/>
    </xf>
    <xf numFmtId="49" fontId="6" fillId="2" borderId="0" xfId="0" applyNumberFormat="1" applyFont="1" applyFill="1" applyAlignment="1" applyProtection="1">
      <alignment horizontal="left"/>
      <protection locked="0" hidden="1"/>
    </xf>
    <xf numFmtId="0" fontId="4" fillId="2" borderId="0" xfId="0" applyFont="1" applyFill="1" applyAlignment="1" applyProtection="1">
      <alignment horizontal="center"/>
      <protection locked="0" hidden="1"/>
    </xf>
    <xf numFmtId="0" fontId="5" fillId="2" borderId="0" xfId="0" applyFont="1" applyFill="1" applyAlignment="1" applyProtection="1">
      <alignment horizontal="center" vertical="center"/>
      <protection locked="0" hidden="1"/>
    </xf>
    <xf numFmtId="49" fontId="7" fillId="2" borderId="0" xfId="0" applyNumberFormat="1" applyFont="1" applyFill="1" applyAlignment="1" applyProtection="1">
      <alignment horizontal="left" vertical="center"/>
      <protection locked="0" hidden="1"/>
    </xf>
    <xf numFmtId="49" fontId="8" fillId="2" borderId="0" xfId="0" applyNumberFormat="1" applyFont="1" applyFill="1" applyAlignment="1" applyProtection="1">
      <alignment horizontal="left" vertical="center"/>
      <protection locked="0" hidden="1"/>
    </xf>
    <xf numFmtId="49" fontId="5" fillId="2" borderId="0" xfId="0" applyNumberFormat="1" applyFont="1" applyFill="1" applyAlignment="1" applyProtection="1">
      <alignment horizontal="center" vertical="center"/>
      <protection locked="0" hidden="1"/>
    </xf>
    <xf numFmtId="0" fontId="6" fillId="2" borderId="0" xfId="0" applyFont="1" applyFill="1" applyAlignment="1" applyProtection="1">
      <alignment horizontal="center" vertical="center"/>
      <protection locked="0" hidden="1"/>
    </xf>
    <xf numFmtId="0" fontId="6" fillId="2" borderId="0" xfId="0" applyFont="1" applyFill="1" applyAlignment="1" applyProtection="1">
      <alignment horizontal="left" vertical="center"/>
      <protection locked="0" hidden="1"/>
    </xf>
    <xf numFmtId="49" fontId="9" fillId="2" borderId="0" xfId="0" applyNumberFormat="1" applyFont="1" applyFill="1" applyAlignment="1" applyProtection="1">
      <alignment horizontal="left" vertical="center"/>
      <protection locked="0" hidden="1"/>
    </xf>
    <xf numFmtId="49" fontId="23" fillId="2" borderId="0" xfId="0" applyNumberFormat="1" applyFont="1" applyFill="1" applyAlignment="1" applyProtection="1">
      <alignment horizontal="left" vertical="center"/>
      <protection locked="0" hidden="1"/>
    </xf>
    <xf numFmtId="49" fontId="10" fillId="3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4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5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6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7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8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9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10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11" fillId="11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9" fillId="2" borderId="0" xfId="0" applyFont="1" applyFill="1" applyAlignment="1" applyProtection="1">
      <alignment horizontal="left"/>
      <protection locked="0" hidden="1"/>
    </xf>
    <xf numFmtId="0" fontId="12" fillId="2" borderId="0" xfId="0" applyFont="1" applyFill="1" applyAlignment="1" applyProtection="1">
      <alignment horizontal="left"/>
      <protection locked="0" hidden="1"/>
    </xf>
    <xf numFmtId="49" fontId="20" fillId="2" borderId="0" xfId="0" applyNumberFormat="1" applyFont="1" applyFill="1" applyAlignment="1" applyProtection="1">
      <alignment horizontal="left"/>
      <protection locked="0" hidden="1"/>
    </xf>
    <xf numFmtId="49" fontId="13" fillId="2" borderId="0" xfId="0" applyNumberFormat="1" applyFont="1" applyFill="1" applyAlignment="1" applyProtection="1">
      <alignment horizontal="left"/>
      <protection locked="0" hidden="1"/>
    </xf>
    <xf numFmtId="49" fontId="13" fillId="2" borderId="0" xfId="0" applyNumberFormat="1" applyFont="1" applyFill="1" applyAlignment="1" applyProtection="1">
      <alignment horizontal="center"/>
      <protection locked="0" hidden="1"/>
    </xf>
    <xf numFmtId="167" fontId="6" fillId="2" borderId="0" xfId="0" applyNumberFormat="1" applyFont="1" applyFill="1" applyAlignment="1" applyProtection="1">
      <alignment horizontal="center"/>
      <protection locked="0" hidden="1"/>
    </xf>
    <xf numFmtId="167" fontId="4" fillId="2" borderId="0" xfId="0" applyNumberFormat="1" applyFont="1" applyFill="1" applyAlignment="1" applyProtection="1">
      <alignment horizontal="center"/>
      <protection locked="0" hidden="1"/>
    </xf>
    <xf numFmtId="49" fontId="6" fillId="2" borderId="0" xfId="0" applyNumberFormat="1" applyFont="1" applyFill="1" applyAlignment="1" applyProtection="1">
      <alignment horizontal="center"/>
      <protection locked="0" hidden="1"/>
    </xf>
    <xf numFmtId="0" fontId="6" fillId="2" borderId="0" xfId="0" applyFont="1" applyFill="1" applyAlignment="1" applyProtection="1">
      <alignment horizontal="left"/>
      <protection locked="0" hidden="1"/>
    </xf>
    <xf numFmtId="0" fontId="2" fillId="2" borderId="0" xfId="0" applyFont="1" applyFill="1" applyAlignment="1" applyProtection="1">
      <alignment horizontal="center"/>
      <protection locked="0" hidden="1"/>
    </xf>
    <xf numFmtId="49" fontId="21" fillId="2" borderId="0" xfId="0" applyNumberFormat="1" applyFont="1" applyFill="1" applyAlignment="1" applyProtection="1">
      <alignment horizontal="left"/>
      <protection locked="0" hidden="1"/>
    </xf>
    <xf numFmtId="49" fontId="14" fillId="2" borderId="0" xfId="0" applyNumberFormat="1" applyFont="1" applyFill="1" applyAlignment="1" applyProtection="1">
      <alignment horizontal="left"/>
      <protection locked="0" hidden="1"/>
    </xf>
    <xf numFmtId="167" fontId="2" fillId="2" borderId="0" xfId="0" applyNumberFormat="1" applyFont="1" applyFill="1" applyAlignment="1" applyProtection="1">
      <alignment horizontal="left"/>
      <protection locked="0" hidden="1"/>
    </xf>
    <xf numFmtId="49" fontId="15" fillId="2" borderId="0" xfId="0" applyNumberFormat="1" applyFont="1" applyFill="1" applyAlignment="1" applyProtection="1">
      <alignment horizontal="center"/>
      <protection locked="0" hidden="1"/>
    </xf>
    <xf numFmtId="0" fontId="15" fillId="2" borderId="0" xfId="0" applyFont="1" applyFill="1" applyAlignment="1" applyProtection="1">
      <alignment horizontal="center"/>
      <protection locked="0" hidden="1"/>
    </xf>
    <xf numFmtId="49" fontId="15" fillId="2" borderId="0" xfId="0" applyNumberFormat="1" applyFont="1" applyFill="1" applyAlignment="1" applyProtection="1">
      <alignment horizontal="left"/>
      <protection locked="0" hidden="1"/>
    </xf>
    <xf numFmtId="0" fontId="2" fillId="13" borderId="4" xfId="0" applyFont="1" applyFill="1" applyBorder="1" applyAlignment="1" applyProtection="1">
      <alignment horizontal="center"/>
      <protection locked="0" hidden="1"/>
    </xf>
    <xf numFmtId="49" fontId="2" fillId="13" borderId="4" xfId="0" applyNumberFormat="1" applyFont="1" applyFill="1" applyBorder="1" applyAlignment="1" applyProtection="1">
      <alignment horizontal="center"/>
      <protection locked="0" hidden="1"/>
    </xf>
    <xf numFmtId="49" fontId="2" fillId="13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14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1" fillId="2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6" fillId="2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2" fillId="13" borderId="4" xfId="0" applyNumberFormat="1" applyFont="1" applyFill="1" applyBorder="1" applyAlignment="1" applyProtection="1">
      <alignment horizontal="center" vertical="center"/>
      <protection locked="0" hidden="1"/>
    </xf>
    <xf numFmtId="167" fontId="16" fillId="15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6" fillId="15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3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4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5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6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7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8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9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0" fillId="10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1" fillId="11" borderId="5" xfId="0" applyNumberFormat="1" applyFont="1" applyFill="1" applyBorder="1" applyAlignment="1" applyProtection="1">
      <alignment horizontal="center" vertical="center" wrapText="1"/>
      <protection locked="0" hidden="1"/>
    </xf>
    <xf numFmtId="49" fontId="11" fillId="15" borderId="5" xfId="0" applyNumberFormat="1" applyFont="1" applyFill="1" applyBorder="1" applyAlignment="1" applyProtection="1">
      <alignment horizontal="center" vertical="center" wrapText="1"/>
      <protection locked="0" hidden="1"/>
    </xf>
    <xf numFmtId="14" fontId="0" fillId="0" borderId="0" xfId="0" quotePrefix="1" applyNumberFormat="1" applyProtection="1">
      <protection locked="0"/>
    </xf>
    <xf numFmtId="49" fontId="0" fillId="0" borderId="0" xfId="0" quotePrefix="1" applyNumberFormat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14" fontId="0" fillId="0" borderId="0" xfId="0" applyNumberFormat="1" applyProtection="1">
      <protection locked="0"/>
    </xf>
    <xf numFmtId="0" fontId="0" fillId="0" borderId="0" xfId="0" quotePrefix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31" fillId="0" borderId="0" xfId="0" applyFont="1" applyAlignment="1" applyProtection="1">
      <alignment vertical="center"/>
      <protection locked="0"/>
    </xf>
    <xf numFmtId="1" fontId="36" fillId="0" borderId="0" xfId="0" applyNumberFormat="1" applyFont="1" applyAlignment="1" applyProtection="1">
      <alignment horizontal="left" vertical="center" shrinkToFit="1"/>
      <protection locked="0"/>
    </xf>
    <xf numFmtId="1" fontId="31" fillId="0" borderId="0" xfId="0" applyNumberFormat="1" applyFont="1" applyAlignment="1" applyProtection="1">
      <alignment horizontal="left" vertical="center" shrinkToFit="1"/>
      <protection locked="0"/>
    </xf>
    <xf numFmtId="1" fontId="31" fillId="0" borderId="0" xfId="0" quotePrefix="1" applyNumberFormat="1" applyFont="1" applyAlignment="1" applyProtection="1">
      <alignment horizontal="left" vertical="center" shrinkToFit="1"/>
      <protection locked="0"/>
    </xf>
    <xf numFmtId="1" fontId="36" fillId="0" borderId="0" xfId="0" quotePrefix="1" applyNumberFormat="1" applyFont="1" applyAlignment="1" applyProtection="1">
      <alignment horizontal="left" vertical="center" shrinkToFit="1"/>
      <protection locked="0"/>
    </xf>
    <xf numFmtId="166" fontId="32" fillId="0" borderId="0" xfId="0" quotePrefix="1" applyNumberFormat="1" applyFont="1" applyAlignment="1" applyProtection="1">
      <alignment horizontal="left" vertical="center" shrinkToFit="1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1" fontId="30" fillId="0" borderId="0" xfId="0" applyNumberFormat="1" applyFont="1" applyAlignment="1" applyProtection="1">
      <alignment horizontal="left" vertical="center" shrinkToFit="1"/>
      <protection locked="0"/>
    </xf>
    <xf numFmtId="0" fontId="30" fillId="0" borderId="0" xfId="0" applyFont="1" applyAlignment="1" applyProtection="1">
      <alignment vertical="center"/>
      <protection locked="0"/>
    </xf>
    <xf numFmtId="0" fontId="9" fillId="2" borderId="0" xfId="0" applyFont="1" applyFill="1" applyAlignment="1" applyProtection="1">
      <alignment horizontal="left" vertical="center"/>
      <protection locked="0" hidden="1"/>
    </xf>
    <xf numFmtId="14" fontId="5" fillId="2" borderId="0" xfId="0" applyNumberFormat="1" applyFont="1" applyFill="1" applyAlignment="1" applyProtection="1">
      <alignment horizontal="center"/>
      <protection locked="0" hidden="1"/>
    </xf>
    <xf numFmtId="14" fontId="6" fillId="2" borderId="0" xfId="0" applyNumberFormat="1" applyFont="1" applyFill="1" applyAlignment="1" applyProtection="1">
      <alignment horizontal="center"/>
      <protection locked="0" hidden="1"/>
    </xf>
    <xf numFmtId="0" fontId="13" fillId="2" borderId="0" xfId="0" applyFont="1" applyFill="1" applyAlignment="1" applyProtection="1">
      <alignment horizontal="center"/>
      <protection locked="0" hidden="1"/>
    </xf>
    <xf numFmtId="14" fontId="4" fillId="2" borderId="0" xfId="0" applyNumberFormat="1" applyFont="1" applyFill="1" applyAlignment="1" applyProtection="1">
      <alignment horizontal="center"/>
      <protection locked="0" hidden="1"/>
    </xf>
    <xf numFmtId="0" fontId="14" fillId="2" borderId="0" xfId="0" applyFont="1" applyFill="1" applyAlignment="1" applyProtection="1">
      <alignment horizontal="left"/>
      <protection locked="0" hidden="1"/>
    </xf>
    <xf numFmtId="14" fontId="2" fillId="2" borderId="0" xfId="0" applyNumberFormat="1" applyFont="1" applyFill="1" applyAlignment="1" applyProtection="1">
      <alignment horizontal="left"/>
      <protection locked="0" hidden="1"/>
    </xf>
    <xf numFmtId="14" fontId="15" fillId="2" borderId="0" xfId="0" applyNumberFormat="1" applyFont="1" applyFill="1" applyAlignment="1" applyProtection="1">
      <alignment horizontal="center"/>
      <protection locked="0" hidden="1"/>
    </xf>
    <xf numFmtId="0" fontId="2" fillId="2" borderId="0" xfId="0" applyFont="1" applyFill="1" applyAlignment="1" applyProtection="1">
      <alignment horizontal="left"/>
      <protection locked="0" hidden="1"/>
    </xf>
    <xf numFmtId="0" fontId="2" fillId="13" borderId="4" xfId="0" applyFont="1" applyFill="1" applyBorder="1" applyAlignment="1" applyProtection="1">
      <alignment horizontal="center" vertical="center"/>
      <protection locked="0" hidden="1"/>
    </xf>
    <xf numFmtId="14" fontId="16" fillId="15" borderId="5" xfId="0" applyNumberFormat="1" applyFont="1" applyFill="1" applyBorder="1" applyAlignment="1" applyProtection="1">
      <alignment horizontal="center" vertical="center" wrapText="1"/>
      <protection locked="0" hidden="1"/>
    </xf>
    <xf numFmtId="14" fontId="11" fillId="15" borderId="5" xfId="0" applyNumberFormat="1" applyFont="1" applyFill="1" applyBorder="1" applyAlignment="1" applyProtection="1">
      <alignment horizontal="center" vertical="center" wrapText="1"/>
      <protection locked="0" hidden="1"/>
    </xf>
    <xf numFmtId="14" fontId="0" fillId="0" borderId="0" xfId="0" quotePrefix="1" applyNumberFormat="1" applyAlignment="1" applyProtection="1">
      <alignment horizontal="left"/>
      <protection locked="0"/>
    </xf>
    <xf numFmtId="1" fontId="3" fillId="0" borderId="0" xfId="0" quotePrefix="1" applyNumberFormat="1" applyFont="1" applyAlignment="1" applyProtection="1">
      <alignment horizontal="left" vertical="center" shrinkToFit="1"/>
      <protection locked="0"/>
    </xf>
    <xf numFmtId="0" fontId="5" fillId="2" borderId="0" xfId="0" applyFont="1" applyFill="1" applyAlignment="1" applyProtection="1">
      <alignment horizontal="left"/>
      <protection locked="0" hidden="1"/>
    </xf>
    <xf numFmtId="0" fontId="7" fillId="2" borderId="0" xfId="0" applyFont="1" applyFill="1" applyAlignment="1" applyProtection="1">
      <alignment horizontal="left" vertical="center"/>
      <protection locked="0" hidden="1"/>
    </xf>
    <xf numFmtId="0" fontId="8" fillId="2" borderId="0" xfId="0" applyFont="1" applyFill="1" applyAlignment="1" applyProtection="1">
      <alignment horizontal="left" vertical="center"/>
      <protection locked="0" hidden="1"/>
    </xf>
    <xf numFmtId="0" fontId="20" fillId="2" borderId="0" xfId="0" applyFont="1" applyFill="1" applyAlignment="1" applyProtection="1">
      <alignment horizontal="left"/>
      <protection locked="0" hidden="1"/>
    </xf>
    <xf numFmtId="0" fontId="13" fillId="2" borderId="0" xfId="0" applyFont="1" applyFill="1" applyAlignment="1" applyProtection="1">
      <alignment horizontal="left"/>
      <protection locked="0" hidden="1"/>
    </xf>
    <xf numFmtId="0" fontId="21" fillId="2" borderId="0" xfId="0" applyFont="1" applyFill="1" applyAlignment="1" applyProtection="1">
      <alignment horizontal="left"/>
      <protection locked="0" hidden="1"/>
    </xf>
    <xf numFmtId="49" fontId="10" fillId="17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" borderId="0" xfId="0" applyFont="1" applyFill="1" applyAlignment="1" applyProtection="1">
      <alignment vertical="center"/>
      <protection locked="0" hidden="1"/>
    </xf>
    <xf numFmtId="0" fontId="8" fillId="2" borderId="0" xfId="0" applyFont="1" applyFill="1" applyAlignment="1" applyProtection="1">
      <alignment horizontal="center" vertical="center"/>
      <protection locked="0" hidden="1"/>
    </xf>
    <xf numFmtId="49" fontId="11" fillId="2" borderId="0" xfId="0" applyNumberFormat="1" applyFont="1" applyFill="1" applyAlignment="1" applyProtection="1">
      <alignment horizontal="center" vertical="center" wrapText="1"/>
      <protection locked="0" hidden="1"/>
    </xf>
    <xf numFmtId="2" fontId="24" fillId="2" borderId="0" xfId="0" applyNumberFormat="1" applyFont="1" applyFill="1" applyAlignment="1" applyProtection="1">
      <alignment horizontal="center" vertical="center"/>
      <protection locked="0" hidden="1"/>
    </xf>
    <xf numFmtId="0" fontId="22" fillId="2" borderId="0" xfId="0" applyFont="1" applyFill="1" applyAlignment="1" applyProtection="1">
      <alignment horizontal="left"/>
      <protection locked="0" hidden="1"/>
    </xf>
    <xf numFmtId="0" fontId="23" fillId="2" borderId="0" xfId="0" applyFont="1" applyFill="1" applyAlignment="1" applyProtection="1">
      <alignment horizontal="left"/>
      <protection locked="0" hidden="1"/>
    </xf>
    <xf numFmtId="49" fontId="11" fillId="15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2" fillId="15" borderId="4" xfId="0" applyFont="1" applyFill="1" applyBorder="1" applyAlignment="1" applyProtection="1">
      <alignment horizontal="center" vertical="center" wrapText="1"/>
      <protection locked="0" hidden="1"/>
    </xf>
    <xf numFmtId="0" fontId="2" fillId="15" borderId="4" xfId="0" applyFont="1" applyFill="1" applyBorder="1" applyAlignment="1" applyProtection="1">
      <alignment horizontal="center" wrapText="1"/>
      <protection locked="0" hidden="1"/>
    </xf>
    <xf numFmtId="0" fontId="2" fillId="15" borderId="4" xfId="0" applyFont="1" applyFill="1" applyBorder="1" applyAlignment="1" applyProtection="1">
      <alignment horizontal="center" vertical="center"/>
      <protection locked="0" hidden="1"/>
    </xf>
    <xf numFmtId="168" fontId="4" fillId="2" borderId="0" xfId="0" applyNumberFormat="1" applyFont="1" applyFill="1" applyAlignment="1" applyProtection="1">
      <alignment horizontal="center"/>
      <protection locked="0" hidden="1"/>
    </xf>
    <xf numFmtId="14" fontId="13" fillId="2" borderId="0" xfId="0" applyNumberFormat="1" applyFont="1" applyFill="1" applyAlignment="1" applyProtection="1">
      <alignment horizontal="center"/>
      <protection locked="0" hidden="1"/>
    </xf>
    <xf numFmtId="168" fontId="6" fillId="2" borderId="0" xfId="0" applyNumberFormat="1" applyFont="1" applyFill="1" applyAlignment="1" applyProtection="1">
      <alignment horizontal="center"/>
      <protection locked="0" hidden="1"/>
    </xf>
    <xf numFmtId="14" fontId="14" fillId="2" borderId="0" xfId="0" applyNumberFormat="1" applyFont="1" applyFill="1" applyAlignment="1" applyProtection="1">
      <alignment horizontal="left"/>
      <protection locked="0" hidden="1"/>
    </xf>
    <xf numFmtId="168" fontId="15" fillId="2" borderId="0" xfId="0" applyNumberFormat="1" applyFont="1" applyFill="1" applyAlignment="1" applyProtection="1">
      <alignment horizontal="center"/>
      <protection locked="0" hidden="1"/>
    </xf>
    <xf numFmtId="168" fontId="11" fillId="15" borderId="5" xfId="0" applyNumberFormat="1" applyFont="1" applyFill="1" applyBorder="1" applyAlignment="1" applyProtection="1">
      <alignment horizontal="center" vertical="center" wrapText="1"/>
      <protection locked="0" hidden="1"/>
    </xf>
    <xf numFmtId="2" fontId="3" fillId="0" borderId="2" xfId="0" applyNumberFormat="1" applyFont="1" applyBorder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/>
      <protection locked="0"/>
    </xf>
    <xf numFmtId="2" fontId="2" fillId="12" borderId="3" xfId="0" applyNumberFormat="1" applyFont="1" applyFill="1" applyBorder="1" applyAlignment="1" applyProtection="1">
      <alignment horizontal="left" vertic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49" fontId="5" fillId="2" borderId="0" xfId="0" applyNumberFormat="1" applyFont="1" applyFill="1" applyAlignment="1">
      <alignment horizontal="center"/>
    </xf>
    <xf numFmtId="167" fontId="5" fillId="2" borderId="0" xfId="0" applyNumberFormat="1" applyFont="1" applyFill="1" applyAlignment="1">
      <alignment horizontal="center"/>
    </xf>
    <xf numFmtId="49" fontId="5" fillId="2" borderId="0" xfId="0" applyNumberFormat="1" applyFont="1" applyFill="1" applyAlignment="1">
      <alignment horizontal="center" vertical="center"/>
    </xf>
    <xf numFmtId="167" fontId="5" fillId="2" borderId="0" xfId="0" applyNumberFormat="1" applyFont="1" applyFill="1" applyAlignment="1">
      <alignment horizontal="center" vertical="center"/>
    </xf>
    <xf numFmtId="49" fontId="23" fillId="2" borderId="0" xfId="0" applyNumberFormat="1" applyFont="1" applyFill="1" applyAlignment="1">
      <alignment horizontal="left"/>
    </xf>
    <xf numFmtId="49" fontId="40" fillId="2" borderId="0" xfId="0" applyNumberFormat="1" applyFont="1" applyFill="1" applyAlignment="1">
      <alignment horizontal="left"/>
    </xf>
    <xf numFmtId="49" fontId="9" fillId="2" borderId="0" xfId="0" applyNumberFormat="1" applyFont="1" applyFill="1" applyAlignment="1">
      <alignment horizontal="left" vertical="center"/>
    </xf>
    <xf numFmtId="167" fontId="9" fillId="2" borderId="0" xfId="0" applyNumberFormat="1" applyFont="1" applyFill="1" applyAlignment="1">
      <alignment horizontal="left" vertical="center"/>
    </xf>
    <xf numFmtId="49" fontId="23" fillId="2" borderId="0" xfId="0" applyNumberFormat="1" applyFont="1" applyFill="1" applyAlignment="1">
      <alignment horizontal="left" vertical="center"/>
    </xf>
    <xf numFmtId="49" fontId="39" fillId="2" borderId="0" xfId="3" applyNumberFormat="1" applyFont="1" applyFill="1" applyAlignment="1" applyProtection="1">
      <alignment horizontal="left" vertical="center"/>
    </xf>
    <xf numFmtId="167" fontId="5" fillId="2" borderId="0" xfId="0" quotePrefix="1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49" fontId="5" fillId="2" borderId="0" xfId="0" quotePrefix="1" applyNumberFormat="1" applyFont="1" applyFill="1" applyAlignment="1">
      <alignment horizontal="center"/>
    </xf>
    <xf numFmtId="49" fontId="38" fillId="2" borderId="0" xfId="3" applyNumberFormat="1" applyFont="1" applyFill="1" applyAlignment="1" applyProtection="1">
      <alignment horizontal="left" vertical="center"/>
    </xf>
    <xf numFmtId="14" fontId="5" fillId="2" borderId="0" xfId="0" applyNumberFormat="1" applyFont="1" applyFill="1" applyAlignment="1">
      <alignment horizontal="center"/>
    </xf>
    <xf numFmtId="14" fontId="5" fillId="2" borderId="0" xfId="0" quotePrefix="1" applyNumberFormat="1" applyFont="1" applyFill="1" applyAlignment="1">
      <alignment horizontal="center"/>
    </xf>
    <xf numFmtId="49" fontId="3" fillId="0" borderId="0" xfId="0" quotePrefix="1" applyNumberFormat="1" applyFont="1" applyProtection="1">
      <protection locked="0"/>
    </xf>
    <xf numFmtId="0" fontId="6" fillId="0" borderId="12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1" fontId="29" fillId="0" borderId="12" xfId="0" applyNumberFormat="1" applyFont="1" applyBorder="1" applyAlignment="1">
      <alignment horizontal="center" vertical="center" shrinkToFit="1"/>
    </xf>
    <xf numFmtId="1" fontId="29" fillId="0" borderId="13" xfId="0" applyNumberFormat="1" applyFont="1" applyBorder="1" applyAlignment="1">
      <alignment horizontal="center" vertical="center" shrinkToFit="1"/>
    </xf>
    <xf numFmtId="0" fontId="0" fillId="0" borderId="12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9" fillId="0" borderId="8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left" vertical="center" wrapText="1"/>
    </xf>
    <xf numFmtId="0" fontId="2" fillId="16" borderId="6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4" fillId="16" borderId="6" xfId="0" applyFont="1" applyFill="1" applyBorder="1" applyAlignment="1">
      <alignment horizontal="center" vertical="center" wrapText="1"/>
    </xf>
    <xf numFmtId="1" fontId="29" fillId="0" borderId="15" xfId="0" applyNumberFormat="1" applyFont="1" applyBorder="1" applyAlignment="1">
      <alignment horizontal="center" vertical="center" shrinkToFit="1"/>
    </xf>
    <xf numFmtId="0" fontId="0" fillId="0" borderId="2" xfId="0" applyBorder="1" applyAlignment="1">
      <alignment horizontal="left" vertical="center" wrapText="1"/>
    </xf>
    <xf numFmtId="0" fontId="6" fillId="0" borderId="15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left" vertical="center" wrapText="1"/>
    </xf>
    <xf numFmtId="1" fontId="30" fillId="0" borderId="12" xfId="0" applyNumberFormat="1" applyFont="1" applyBorder="1" applyAlignment="1">
      <alignment horizontal="center" vertical="center" shrinkToFit="1"/>
    </xf>
    <xf numFmtId="1" fontId="30" fillId="0" borderId="15" xfId="0" applyNumberFormat="1" applyFont="1" applyBorder="1" applyAlignment="1">
      <alignment horizontal="center" vertical="center" shrinkToFit="1"/>
    </xf>
    <xf numFmtId="0" fontId="30" fillId="0" borderId="2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166" fontId="32" fillId="0" borderId="12" xfId="0" applyNumberFormat="1" applyFont="1" applyBorder="1" applyAlignment="1">
      <alignment horizontal="center" vertical="center" shrinkToFit="1"/>
    </xf>
    <xf numFmtId="166" fontId="32" fillId="0" borderId="15" xfId="0" applyNumberFormat="1" applyFont="1" applyBorder="1" applyAlignment="1">
      <alignment horizontal="center" vertical="center" shrinkToFit="1"/>
    </xf>
    <xf numFmtId="0" fontId="32" fillId="0" borderId="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 wrapText="1"/>
    </xf>
    <xf numFmtId="0" fontId="29" fillId="0" borderId="2" xfId="0" applyFont="1" applyBorder="1" applyAlignment="1">
      <alignment vertical="center" wrapText="1"/>
    </xf>
    <xf numFmtId="165" fontId="29" fillId="0" borderId="12" xfId="0" applyNumberFormat="1" applyFont="1" applyBorder="1" applyAlignment="1">
      <alignment horizontal="center" vertical="center" shrinkToFit="1"/>
    </xf>
    <xf numFmtId="165" fontId="29" fillId="0" borderId="13" xfId="0" applyNumberFormat="1" applyFont="1" applyBorder="1" applyAlignment="1">
      <alignment horizontal="center" vertical="center" shrinkToFit="1"/>
    </xf>
    <xf numFmtId="0" fontId="31" fillId="0" borderId="2" xfId="0" applyFont="1" applyBorder="1" applyAlignment="1">
      <alignment horizontal="left" vertical="center" wrapText="1"/>
    </xf>
    <xf numFmtId="0" fontId="33" fillId="0" borderId="2" xfId="0" applyFont="1" applyBorder="1" applyAlignment="1">
      <alignment horizontal="left" vertical="center" wrapText="1"/>
    </xf>
    <xf numFmtId="0" fontId="30" fillId="0" borderId="8" xfId="0" applyFont="1" applyBorder="1" applyAlignment="1">
      <alignment horizontal="center" vertical="center" wrapText="1"/>
    </xf>
    <xf numFmtId="0" fontId="30" fillId="0" borderId="14" xfId="0" applyFont="1" applyBorder="1" applyAlignment="1">
      <alignment horizontal="center" vertical="center" wrapText="1"/>
    </xf>
    <xf numFmtId="0" fontId="30" fillId="0" borderId="10" xfId="0" applyFont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49" fontId="0" fillId="0" borderId="0" xfId="0" applyNumberFormat="1" applyAlignment="1" applyProtection="1">
      <alignment horizontal="center"/>
      <protection locked="0"/>
    </xf>
  </cellXfs>
  <cellStyles count="4">
    <cellStyle name="Hipervínculo" xfId="3" builtinId="8"/>
    <cellStyle name="Millares" xfId="1" builtinId="3"/>
    <cellStyle name="Millares 2" xfId="2" xr:uid="{DC7BBB41-2360-4058-8636-09E21913B7D1}"/>
    <cellStyle name="Normal" xfId="0" builtinId="0"/>
  </cellStyles>
  <dxfs count="0"/>
  <tableStyles count="0" defaultTableStyle="TableStyleMedium2" defaultPivotStyle="PivotStyleLight16"/>
  <colors>
    <mruColors>
      <color rgb="FFA3FFFF"/>
      <color rgb="FFCCFFFF"/>
      <color rgb="FF66FFFF"/>
      <color rgb="FFCCFFCC"/>
      <color rgb="FF6699FF"/>
      <color rgb="FF9857EF"/>
      <color rgb="FFC45E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29393</xdr:colOff>
      <xdr:row>16</xdr:row>
      <xdr:rowOff>271502</xdr:rowOff>
    </xdr:from>
    <xdr:to>
      <xdr:col>2</xdr:col>
      <xdr:colOff>873418</xdr:colOff>
      <xdr:row>16</xdr:row>
      <xdr:rowOff>493059</xdr:rowOff>
    </xdr:to>
    <xdr:sp macro="[0]!RellenarAnexo2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2B62007F-194D-405D-B1AD-78A09715C50D}"/>
            </a:ext>
          </a:extLst>
        </xdr:cNvPr>
        <xdr:cNvSpPr/>
      </xdr:nvSpPr>
      <xdr:spPr>
        <a:xfrm>
          <a:off x="631373" y="4538702"/>
          <a:ext cx="844025" cy="221557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chemeClr val="bg1"/>
              </a:solidFill>
              <a:latin typeface="+mn-lt"/>
              <a:ea typeface="+mn-ea"/>
              <a:cs typeface="+mn-cs"/>
            </a:rPr>
            <a:t>RELLENAR</a:t>
          </a:r>
        </a:p>
      </xdr:txBody>
    </xdr:sp>
    <xdr:clientData/>
  </xdr:twoCellAnchor>
  <xdr:twoCellAnchor editAs="oneCell">
    <xdr:from>
      <xdr:col>6</xdr:col>
      <xdr:colOff>141771</xdr:colOff>
      <xdr:row>8</xdr:row>
      <xdr:rowOff>97970</xdr:rowOff>
    </xdr:from>
    <xdr:to>
      <xdr:col>7</xdr:col>
      <xdr:colOff>942895</xdr:colOff>
      <xdr:row>12</xdr:row>
      <xdr:rowOff>161238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7095D771-2C7B-4244-A998-75334A35DB4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788"/>
        <a:stretch/>
      </xdr:blipFill>
      <xdr:spPr bwMode="auto">
        <a:xfrm>
          <a:off x="6839751" y="1561010"/>
          <a:ext cx="1936504" cy="1657641"/>
        </a:xfrm>
        <a:prstGeom prst="rect">
          <a:avLst/>
        </a:prstGeom>
        <a:ln w="38100" cap="sq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959849</xdr:colOff>
      <xdr:row>12</xdr:row>
      <xdr:rowOff>141193</xdr:rowOff>
    </xdr:from>
    <xdr:to>
      <xdr:col>8</xdr:col>
      <xdr:colOff>862456</xdr:colOff>
      <xdr:row>13</xdr:row>
      <xdr:rowOff>225015</xdr:rowOff>
    </xdr:to>
    <xdr:sp macro="[0]!LimpiarAnexo2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D31C094-27E4-4070-851E-541382F5D0CA}"/>
            </a:ext>
          </a:extLst>
        </xdr:cNvPr>
        <xdr:cNvSpPr/>
      </xdr:nvSpPr>
      <xdr:spPr>
        <a:xfrm>
          <a:off x="8786678" y="3210964"/>
          <a:ext cx="1023835" cy="410394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6</xdr:col>
      <xdr:colOff>248258</xdr:colOff>
      <xdr:row>12</xdr:row>
      <xdr:rowOff>153169</xdr:rowOff>
    </xdr:from>
    <xdr:to>
      <xdr:col>7</xdr:col>
      <xdr:colOff>840569</xdr:colOff>
      <xdr:row>13</xdr:row>
      <xdr:rowOff>229100</xdr:rowOff>
    </xdr:to>
    <xdr:sp macro="[0]!PrincipalAnexo2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1871FD66-B2AE-4075-A8A1-797C8BE1556E}"/>
            </a:ext>
          </a:extLst>
        </xdr:cNvPr>
        <xdr:cNvSpPr/>
      </xdr:nvSpPr>
      <xdr:spPr>
        <a:xfrm>
          <a:off x="6942972" y="3222940"/>
          <a:ext cx="1724426" cy="402503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GENERAR TXT</a:t>
          </a:r>
        </a:p>
      </xdr:txBody>
    </xdr:sp>
    <xdr:clientData/>
  </xdr:twoCellAnchor>
  <xdr:oneCellAnchor>
    <xdr:from>
      <xdr:col>9</xdr:col>
      <xdr:colOff>459035</xdr:colOff>
      <xdr:row>10</xdr:row>
      <xdr:rowOff>610008</xdr:rowOff>
    </xdr:from>
    <xdr:ext cx="381973" cy="269892"/>
    <xdr:pic>
      <xdr:nvPicPr>
        <xdr:cNvPr id="7" name="Imagen 6">
          <a:extLst>
            <a:ext uri="{FF2B5EF4-FFF2-40B4-BE49-F238E27FC236}">
              <a16:creationId xmlns:a16="http://schemas.microsoft.com/office/drawing/2014/main" id="{77EC2502-AA87-4E4C-AA27-47EE6F3A24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5035" y="2713128"/>
          <a:ext cx="381973" cy="269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478780</xdr:colOff>
      <xdr:row>9</xdr:row>
      <xdr:rowOff>71960</xdr:rowOff>
    </xdr:from>
    <xdr:ext cx="347857" cy="354735"/>
    <xdr:pic>
      <xdr:nvPicPr>
        <xdr:cNvPr id="8" name="Imagen 7" descr="Logo Whatsapp PNG para descargar gratis">
          <a:extLst>
            <a:ext uri="{FF2B5EF4-FFF2-40B4-BE49-F238E27FC236}">
              <a16:creationId xmlns:a16="http://schemas.microsoft.com/office/drawing/2014/main" id="{837D45F9-A373-4E23-87CA-3796AA2B539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10384780" y="1801700"/>
          <a:ext cx="347857" cy="354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464388</xdr:colOff>
      <xdr:row>11</xdr:row>
      <xdr:rowOff>294865</xdr:rowOff>
    </xdr:from>
    <xdr:ext cx="338119" cy="345263"/>
    <xdr:pic>
      <xdr:nvPicPr>
        <xdr:cNvPr id="9" name="Imagen 8" descr="Facebook - Inicia sesión o regístrate">
          <a:extLst>
            <a:ext uri="{FF2B5EF4-FFF2-40B4-BE49-F238E27FC236}">
              <a16:creationId xmlns:a16="http://schemas.microsoft.com/office/drawing/2014/main" id="{0D11414A-DEFE-4CCF-90F8-31F67BCC7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388" y="3022825"/>
          <a:ext cx="338119" cy="345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472504</xdr:colOff>
      <xdr:row>10</xdr:row>
      <xdr:rowOff>134070</xdr:rowOff>
    </xdr:from>
    <xdr:ext cx="347857" cy="355514"/>
    <xdr:pic>
      <xdr:nvPicPr>
        <xdr:cNvPr id="10" name="Imagen 9" descr="Logo Whatsapp PNG para descargar gratis">
          <a:extLst>
            <a:ext uri="{FF2B5EF4-FFF2-40B4-BE49-F238E27FC236}">
              <a16:creationId xmlns:a16="http://schemas.microsoft.com/office/drawing/2014/main" id="{AC887A42-FACF-4D2C-9ECA-A9CD8F94ECD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10378504" y="2237190"/>
          <a:ext cx="347857" cy="355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29393</xdr:colOff>
      <xdr:row>22</xdr:row>
      <xdr:rowOff>271502</xdr:rowOff>
    </xdr:from>
    <xdr:to>
      <xdr:col>2</xdr:col>
      <xdr:colOff>873418</xdr:colOff>
      <xdr:row>22</xdr:row>
      <xdr:rowOff>493059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FC78CCC-1A41-4A92-A08B-0E3344CE0DB7}"/>
            </a:ext>
          </a:extLst>
        </xdr:cNvPr>
        <xdr:cNvSpPr/>
      </xdr:nvSpPr>
      <xdr:spPr>
        <a:xfrm>
          <a:off x="631373" y="4272002"/>
          <a:ext cx="844025" cy="221557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chemeClr val="bg1"/>
              </a:solidFill>
              <a:latin typeface="+mn-lt"/>
              <a:ea typeface="+mn-ea"/>
              <a:cs typeface="+mn-cs"/>
            </a:rPr>
            <a:t>RELLENAR</a:t>
          </a:r>
        </a:p>
      </xdr:txBody>
    </xdr:sp>
    <xdr:clientData/>
  </xdr:twoCellAnchor>
  <xdr:twoCellAnchor editAs="oneCell">
    <xdr:from>
      <xdr:col>6</xdr:col>
      <xdr:colOff>322217</xdr:colOff>
      <xdr:row>14</xdr:row>
      <xdr:rowOff>78377</xdr:rowOff>
    </xdr:from>
    <xdr:to>
      <xdr:col>8</xdr:col>
      <xdr:colOff>896</xdr:colOff>
      <xdr:row>18</xdr:row>
      <xdr:rowOff>60730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27823937-B7A2-4318-87B4-B6AAF2EBF19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788"/>
        <a:stretch/>
      </xdr:blipFill>
      <xdr:spPr bwMode="auto">
        <a:xfrm>
          <a:off x="5492931" y="2669177"/>
          <a:ext cx="1932022" cy="1669639"/>
        </a:xfrm>
        <a:prstGeom prst="rect">
          <a:avLst/>
        </a:prstGeom>
        <a:ln w="38100" cap="sq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140156</xdr:colOff>
      <xdr:row>18</xdr:row>
      <xdr:rowOff>78185</xdr:rowOff>
    </xdr:from>
    <xdr:to>
      <xdr:col>9</xdr:col>
      <xdr:colOff>213540</xdr:colOff>
      <xdr:row>19</xdr:row>
      <xdr:rowOff>103543</xdr:rowOff>
    </xdr:to>
    <xdr:sp macro="[0]!LimpiarAnexo3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E92DB236-CB33-470F-8757-79972BF4F5CF}"/>
            </a:ext>
          </a:extLst>
        </xdr:cNvPr>
        <xdr:cNvSpPr/>
      </xdr:nvSpPr>
      <xdr:spPr>
        <a:xfrm>
          <a:off x="7571897" y="4255738"/>
          <a:ext cx="1023643" cy="357052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6</xdr:col>
      <xdr:colOff>408855</xdr:colOff>
      <xdr:row>18</xdr:row>
      <xdr:rowOff>67300</xdr:rowOff>
    </xdr:from>
    <xdr:to>
      <xdr:col>7</xdr:col>
      <xdr:colOff>1004304</xdr:colOff>
      <xdr:row>19</xdr:row>
      <xdr:rowOff>85791</xdr:rowOff>
    </xdr:to>
    <xdr:sp macro="[0]!PrincipalAnexo3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B84E9CCB-877A-4BCC-BDC1-DAB07DB54BBA}"/>
            </a:ext>
          </a:extLst>
        </xdr:cNvPr>
        <xdr:cNvSpPr/>
      </xdr:nvSpPr>
      <xdr:spPr>
        <a:xfrm>
          <a:off x="5581490" y="4244853"/>
          <a:ext cx="1733967" cy="350185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GENERAR TXT</a:t>
          </a:r>
        </a:p>
      </xdr:txBody>
    </xdr:sp>
    <xdr:clientData/>
  </xdr:twoCellAnchor>
  <xdr:twoCellAnchor>
    <xdr:from>
      <xdr:col>2</xdr:col>
      <xdr:colOff>29393</xdr:colOff>
      <xdr:row>22</xdr:row>
      <xdr:rowOff>271502</xdr:rowOff>
    </xdr:from>
    <xdr:to>
      <xdr:col>2</xdr:col>
      <xdr:colOff>873418</xdr:colOff>
      <xdr:row>22</xdr:row>
      <xdr:rowOff>493059</xdr:rowOff>
    </xdr:to>
    <xdr:sp macro="[0]!RellenarAnexo3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490CD10-9E03-4D93-8FB2-8CE7F684547F}"/>
            </a:ext>
          </a:extLst>
        </xdr:cNvPr>
        <xdr:cNvSpPr/>
      </xdr:nvSpPr>
      <xdr:spPr>
        <a:xfrm>
          <a:off x="631373" y="4500602"/>
          <a:ext cx="844025" cy="221557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chemeClr val="bg1"/>
              </a:solidFill>
              <a:latin typeface="+mn-lt"/>
              <a:ea typeface="+mn-ea"/>
              <a:cs typeface="+mn-cs"/>
            </a:rPr>
            <a:t>RELLENAR</a:t>
          </a:r>
        </a:p>
      </xdr:txBody>
    </xdr:sp>
    <xdr:clientData/>
  </xdr:twoCellAnchor>
  <xdr:oneCellAnchor>
    <xdr:from>
      <xdr:col>9</xdr:col>
      <xdr:colOff>458041</xdr:colOff>
      <xdr:row>16</xdr:row>
      <xdr:rowOff>254733</xdr:rowOff>
    </xdr:from>
    <xdr:ext cx="381973" cy="269892"/>
    <xdr:pic>
      <xdr:nvPicPr>
        <xdr:cNvPr id="13" name="Imagen 12">
          <a:extLst>
            <a:ext uri="{FF2B5EF4-FFF2-40B4-BE49-F238E27FC236}">
              <a16:creationId xmlns:a16="http://schemas.microsoft.com/office/drawing/2014/main" id="{AC1E0756-456B-4D75-A4EE-81EAE4CAA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0041" y="3428239"/>
          <a:ext cx="381973" cy="269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467223</xdr:colOff>
      <xdr:row>14</xdr:row>
      <xdr:rowOff>38285</xdr:rowOff>
    </xdr:from>
    <xdr:ext cx="347857" cy="354735"/>
    <xdr:pic>
      <xdr:nvPicPr>
        <xdr:cNvPr id="14" name="Imagen 13" descr="Logo Whatsapp PNG para descargar gratis">
          <a:extLst>
            <a:ext uri="{FF2B5EF4-FFF2-40B4-BE49-F238E27FC236}">
              <a16:creationId xmlns:a16="http://schemas.microsoft.com/office/drawing/2014/main" id="{9150A39F-C21D-4C1C-B6B4-D060E5A92BC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8849223" y="2548403"/>
          <a:ext cx="347857" cy="354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472828</xdr:colOff>
      <xdr:row>16</xdr:row>
      <xdr:rowOff>633809</xdr:rowOff>
    </xdr:from>
    <xdr:ext cx="338119" cy="345263"/>
    <xdr:pic>
      <xdr:nvPicPr>
        <xdr:cNvPr id="15" name="Imagen 14" descr="Facebook - Inicia sesión o regístrate">
          <a:extLst>
            <a:ext uri="{FF2B5EF4-FFF2-40B4-BE49-F238E27FC236}">
              <a16:creationId xmlns:a16="http://schemas.microsoft.com/office/drawing/2014/main" id="{A25F9BBF-8735-4ECC-8CC4-77BADE81C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54828" y="3807315"/>
          <a:ext cx="338119" cy="345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466229</xdr:colOff>
      <xdr:row>15</xdr:row>
      <xdr:rowOff>116979</xdr:rowOff>
    </xdr:from>
    <xdr:ext cx="347857" cy="355514"/>
    <xdr:pic>
      <xdr:nvPicPr>
        <xdr:cNvPr id="19" name="Imagen 18" descr="Logo Whatsapp PNG para descargar gratis">
          <a:extLst>
            <a:ext uri="{FF2B5EF4-FFF2-40B4-BE49-F238E27FC236}">
              <a16:creationId xmlns:a16="http://schemas.microsoft.com/office/drawing/2014/main" id="{A0DC48A5-63C1-408B-A7E7-5B5140ABA61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8848229" y="2958791"/>
          <a:ext cx="347857" cy="355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29393</xdr:colOff>
      <xdr:row>23</xdr:row>
      <xdr:rowOff>271502</xdr:rowOff>
    </xdr:from>
    <xdr:to>
      <xdr:col>2</xdr:col>
      <xdr:colOff>873418</xdr:colOff>
      <xdr:row>23</xdr:row>
      <xdr:rowOff>493059</xdr:rowOff>
    </xdr:to>
    <xdr:sp macro="[0]!RellenarAnexo4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FBACE0C-6738-4CBA-9DBB-7B155BED057B}"/>
            </a:ext>
          </a:extLst>
        </xdr:cNvPr>
        <xdr:cNvSpPr/>
      </xdr:nvSpPr>
      <xdr:spPr>
        <a:xfrm>
          <a:off x="631373" y="4272002"/>
          <a:ext cx="844025" cy="221557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chemeClr val="bg1"/>
              </a:solidFill>
              <a:latin typeface="+mn-lt"/>
              <a:ea typeface="+mn-ea"/>
              <a:cs typeface="+mn-cs"/>
            </a:rPr>
            <a:t>RELLENAR</a:t>
          </a:r>
        </a:p>
      </xdr:txBody>
    </xdr:sp>
    <xdr:clientData/>
  </xdr:twoCellAnchor>
  <xdr:twoCellAnchor editAs="oneCell">
    <xdr:from>
      <xdr:col>6</xdr:col>
      <xdr:colOff>288471</xdr:colOff>
      <xdr:row>15</xdr:row>
      <xdr:rowOff>92529</xdr:rowOff>
    </xdr:from>
    <xdr:to>
      <xdr:col>7</xdr:col>
      <xdr:colOff>1092733</xdr:colOff>
      <xdr:row>19</xdr:row>
      <xdr:rowOff>189006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23A9567-CC70-441D-8799-5F182D9ACD0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788"/>
        <a:stretch/>
      </xdr:blipFill>
      <xdr:spPr bwMode="auto">
        <a:xfrm>
          <a:off x="5459185" y="2868386"/>
          <a:ext cx="1936377" cy="1653134"/>
        </a:xfrm>
        <a:prstGeom prst="rect">
          <a:avLst/>
        </a:prstGeom>
        <a:ln w="38100" cap="sq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102760</xdr:colOff>
      <xdr:row>19</xdr:row>
      <xdr:rowOff>240576</xdr:rowOff>
    </xdr:from>
    <xdr:to>
      <xdr:col>9</xdr:col>
      <xdr:colOff>169100</xdr:colOff>
      <xdr:row>20</xdr:row>
      <xdr:rowOff>217715</xdr:rowOff>
    </xdr:to>
    <xdr:sp macro="[0]!LimpiarAnexo4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DA01604-0924-4366-AF20-30C7B0DF0DA2}"/>
            </a:ext>
          </a:extLst>
        </xdr:cNvPr>
        <xdr:cNvSpPr/>
      </xdr:nvSpPr>
      <xdr:spPr>
        <a:xfrm>
          <a:off x="7526817" y="4573090"/>
          <a:ext cx="1024283" cy="303711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6</xdr:col>
      <xdr:colOff>372099</xdr:colOff>
      <xdr:row>19</xdr:row>
      <xdr:rowOff>229691</xdr:rowOff>
    </xdr:from>
    <xdr:to>
      <xdr:col>7</xdr:col>
      <xdr:colOff>967548</xdr:colOff>
      <xdr:row>20</xdr:row>
      <xdr:rowOff>202736</xdr:rowOff>
    </xdr:to>
    <xdr:sp macro="[0]!PrincipalAnexo4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E118C555-15AF-48EE-9D33-56FD13AF37FA}"/>
            </a:ext>
          </a:extLst>
        </xdr:cNvPr>
        <xdr:cNvSpPr/>
      </xdr:nvSpPr>
      <xdr:spPr>
        <a:xfrm>
          <a:off x="5542813" y="4562205"/>
          <a:ext cx="1727564" cy="299617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GENERAR TXT</a:t>
          </a:r>
        </a:p>
      </xdr:txBody>
    </xdr:sp>
    <xdr:clientData/>
  </xdr:twoCellAnchor>
  <xdr:oneCellAnchor>
    <xdr:from>
      <xdr:col>9</xdr:col>
      <xdr:colOff>458041</xdr:colOff>
      <xdr:row>17</xdr:row>
      <xdr:rowOff>156121</xdr:rowOff>
    </xdr:from>
    <xdr:ext cx="381973" cy="269892"/>
    <xdr:pic>
      <xdr:nvPicPr>
        <xdr:cNvPr id="14" name="Imagen 13">
          <a:extLst>
            <a:ext uri="{FF2B5EF4-FFF2-40B4-BE49-F238E27FC236}">
              <a16:creationId xmlns:a16="http://schemas.microsoft.com/office/drawing/2014/main" id="{44BA727A-3277-48FA-ACC8-13D07093A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2281" y="3630841"/>
          <a:ext cx="381973" cy="269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458258</xdr:colOff>
      <xdr:row>15</xdr:row>
      <xdr:rowOff>83108</xdr:rowOff>
    </xdr:from>
    <xdr:ext cx="347857" cy="354735"/>
    <xdr:pic>
      <xdr:nvPicPr>
        <xdr:cNvPr id="15" name="Imagen 14" descr="Logo Whatsapp PNG para descargar gratis">
          <a:extLst>
            <a:ext uri="{FF2B5EF4-FFF2-40B4-BE49-F238E27FC236}">
              <a16:creationId xmlns:a16="http://schemas.microsoft.com/office/drawing/2014/main" id="{8137FAF5-B91C-45E4-B3E8-38DC81EABBC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7712498" y="2826308"/>
          <a:ext cx="347857" cy="354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463863</xdr:colOff>
      <xdr:row>17</xdr:row>
      <xdr:rowOff>472444</xdr:rowOff>
    </xdr:from>
    <xdr:ext cx="338119" cy="345263"/>
    <xdr:pic>
      <xdr:nvPicPr>
        <xdr:cNvPr id="20" name="Imagen 19" descr="Facebook - Inicia sesión o regístrate">
          <a:extLst>
            <a:ext uri="{FF2B5EF4-FFF2-40B4-BE49-F238E27FC236}">
              <a16:creationId xmlns:a16="http://schemas.microsoft.com/office/drawing/2014/main" id="{0FBD4662-5FED-4B4D-B4DA-CE524716A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8103" y="3947164"/>
          <a:ext cx="338119" cy="345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457264</xdr:colOff>
      <xdr:row>16</xdr:row>
      <xdr:rowOff>81120</xdr:rowOff>
    </xdr:from>
    <xdr:ext cx="347857" cy="355514"/>
    <xdr:pic>
      <xdr:nvPicPr>
        <xdr:cNvPr id="21" name="Imagen 20" descr="Logo Whatsapp PNG para descargar gratis">
          <a:extLst>
            <a:ext uri="{FF2B5EF4-FFF2-40B4-BE49-F238E27FC236}">
              <a16:creationId xmlns:a16="http://schemas.microsoft.com/office/drawing/2014/main" id="{B144EBAD-104F-4456-81BF-04CFDBFE685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7711504" y="3220560"/>
          <a:ext cx="347857" cy="355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167768</xdr:colOff>
      <xdr:row>15</xdr:row>
      <xdr:rowOff>63393</xdr:rowOff>
    </xdr:from>
    <xdr:to>
      <xdr:col>8</xdr:col>
      <xdr:colOff>322153</xdr:colOff>
      <xdr:row>19</xdr:row>
      <xdr:rowOff>114622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BD61227-C0BE-46A4-A46C-C87837CB1E6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788"/>
        <a:stretch/>
      </xdr:blipFill>
      <xdr:spPr bwMode="auto">
        <a:xfrm>
          <a:off x="4829415" y="2752805"/>
          <a:ext cx="1929397" cy="1655911"/>
        </a:xfrm>
        <a:prstGeom prst="rect">
          <a:avLst/>
        </a:prstGeom>
        <a:ln w="38100" cap="sq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334946</xdr:colOff>
      <xdr:row>19</xdr:row>
      <xdr:rowOff>101879</xdr:rowOff>
    </xdr:from>
    <xdr:to>
      <xdr:col>9</xdr:col>
      <xdr:colOff>530827</xdr:colOff>
      <xdr:row>20</xdr:row>
      <xdr:rowOff>79018</xdr:rowOff>
    </xdr:to>
    <xdr:sp macro="[0]!LimpiarAnexo5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9C856A0-7CF0-4BA1-8282-836D89A004E6}"/>
            </a:ext>
          </a:extLst>
        </xdr:cNvPr>
        <xdr:cNvSpPr/>
      </xdr:nvSpPr>
      <xdr:spPr>
        <a:xfrm>
          <a:off x="6771605" y="4395973"/>
          <a:ext cx="1020634" cy="308833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6</xdr:col>
      <xdr:colOff>267405</xdr:colOff>
      <xdr:row>19</xdr:row>
      <xdr:rowOff>108923</xdr:rowOff>
    </xdr:from>
    <xdr:to>
      <xdr:col>8</xdr:col>
      <xdr:colOff>212977</xdr:colOff>
      <xdr:row>20</xdr:row>
      <xdr:rowOff>81968</xdr:rowOff>
    </xdr:to>
    <xdr:sp macro="[0]!PrincipalAnexo5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D4A0B2-93CC-47A4-9BE4-BBA564AF5F26}"/>
            </a:ext>
          </a:extLst>
        </xdr:cNvPr>
        <xdr:cNvSpPr/>
      </xdr:nvSpPr>
      <xdr:spPr>
        <a:xfrm>
          <a:off x="4929052" y="4403017"/>
          <a:ext cx="1720584" cy="304739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GENERAR TXT</a:t>
          </a:r>
        </a:p>
      </xdr:txBody>
    </xdr:sp>
    <xdr:clientData/>
  </xdr:twoCellAnchor>
  <xdr:twoCellAnchor>
    <xdr:from>
      <xdr:col>2</xdr:col>
      <xdr:colOff>58616</xdr:colOff>
      <xdr:row>23</xdr:row>
      <xdr:rowOff>252632</xdr:rowOff>
    </xdr:from>
    <xdr:to>
      <xdr:col>2</xdr:col>
      <xdr:colOff>902641</xdr:colOff>
      <xdr:row>23</xdr:row>
      <xdr:rowOff>474189</xdr:rowOff>
    </xdr:to>
    <xdr:sp macro="[0]!RellenarAnexo5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5997840-6235-430B-A55C-921AF352FBF0}"/>
            </a:ext>
          </a:extLst>
        </xdr:cNvPr>
        <xdr:cNvSpPr/>
      </xdr:nvSpPr>
      <xdr:spPr>
        <a:xfrm>
          <a:off x="645356" y="5723792"/>
          <a:ext cx="844025" cy="221557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chemeClr val="bg1"/>
              </a:solidFill>
              <a:latin typeface="+mn-lt"/>
              <a:ea typeface="+mn-ea"/>
              <a:cs typeface="+mn-cs"/>
            </a:rPr>
            <a:t>RELLENAR</a:t>
          </a:r>
        </a:p>
      </xdr:txBody>
    </xdr:sp>
    <xdr:clientData/>
  </xdr:twoCellAnchor>
  <xdr:oneCellAnchor>
    <xdr:from>
      <xdr:col>9</xdr:col>
      <xdr:colOff>458041</xdr:colOff>
      <xdr:row>17</xdr:row>
      <xdr:rowOff>156121</xdr:rowOff>
    </xdr:from>
    <xdr:ext cx="381973" cy="269892"/>
    <xdr:pic>
      <xdr:nvPicPr>
        <xdr:cNvPr id="11" name="Imagen 10">
          <a:extLst>
            <a:ext uri="{FF2B5EF4-FFF2-40B4-BE49-F238E27FC236}">
              <a16:creationId xmlns:a16="http://schemas.microsoft.com/office/drawing/2014/main" id="{4ED2F461-8DA9-4948-A37E-63055C040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06980" y="3674573"/>
          <a:ext cx="381973" cy="269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458258</xdr:colOff>
      <xdr:row>15</xdr:row>
      <xdr:rowOff>83108</xdr:rowOff>
    </xdr:from>
    <xdr:ext cx="347857" cy="354735"/>
    <xdr:pic>
      <xdr:nvPicPr>
        <xdr:cNvPr id="12" name="Imagen 11" descr="Logo Whatsapp PNG para descargar gratis">
          <a:extLst>
            <a:ext uri="{FF2B5EF4-FFF2-40B4-BE49-F238E27FC236}">
              <a16:creationId xmlns:a16="http://schemas.microsoft.com/office/drawing/2014/main" id="{6A39D548-87C2-4E26-9696-F1053C94098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7707197" y="2866065"/>
          <a:ext cx="347857" cy="354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463863</xdr:colOff>
      <xdr:row>17</xdr:row>
      <xdr:rowOff>472444</xdr:rowOff>
    </xdr:from>
    <xdr:ext cx="338119" cy="345263"/>
    <xdr:pic>
      <xdr:nvPicPr>
        <xdr:cNvPr id="13" name="Imagen 12" descr="Facebook - Inicia sesión o regístrate">
          <a:extLst>
            <a:ext uri="{FF2B5EF4-FFF2-40B4-BE49-F238E27FC236}">
              <a16:creationId xmlns:a16="http://schemas.microsoft.com/office/drawing/2014/main" id="{71A8C802-B64F-4455-94F2-1DD4C0800E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1256" y="3961878"/>
          <a:ext cx="338119" cy="345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457264</xdr:colOff>
      <xdr:row>16</xdr:row>
      <xdr:rowOff>81120</xdr:rowOff>
    </xdr:from>
    <xdr:ext cx="347857" cy="355514"/>
    <xdr:pic>
      <xdr:nvPicPr>
        <xdr:cNvPr id="14" name="Imagen 13" descr="Logo Whatsapp PNG para descargar gratis">
          <a:extLst>
            <a:ext uri="{FF2B5EF4-FFF2-40B4-BE49-F238E27FC236}">
              <a16:creationId xmlns:a16="http://schemas.microsoft.com/office/drawing/2014/main" id="{6D81226E-D519-4F39-97D7-D4B6F5AD155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7706203" y="3261642"/>
          <a:ext cx="347857" cy="355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347702</xdr:colOff>
      <xdr:row>15</xdr:row>
      <xdr:rowOff>64033</xdr:rowOff>
    </xdr:from>
    <xdr:to>
      <xdr:col>7</xdr:col>
      <xdr:colOff>297179</xdr:colOff>
      <xdr:row>19</xdr:row>
      <xdr:rowOff>111613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23F684CD-6308-44EE-8CAF-DA5FD7AB670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788"/>
        <a:stretch/>
      </xdr:blipFill>
      <xdr:spPr bwMode="auto">
        <a:xfrm>
          <a:off x="4048845" y="2839890"/>
          <a:ext cx="1930677" cy="1658666"/>
        </a:xfrm>
        <a:prstGeom prst="rect">
          <a:avLst/>
        </a:prstGeom>
        <a:ln w="38100" cap="sq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455328</xdr:colOff>
      <xdr:row>19</xdr:row>
      <xdr:rowOff>142859</xdr:rowOff>
    </xdr:from>
    <xdr:to>
      <xdr:col>8</xdr:col>
      <xdr:colOff>680664</xdr:colOff>
      <xdr:row>20</xdr:row>
      <xdr:rowOff>114875</xdr:rowOff>
    </xdr:to>
    <xdr:sp macro="[0]!LimpiarAnexo5_2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78F74519-7D3E-4E28-B021-E987A8944565}"/>
            </a:ext>
          </a:extLst>
        </xdr:cNvPr>
        <xdr:cNvSpPr/>
      </xdr:nvSpPr>
      <xdr:spPr>
        <a:xfrm>
          <a:off x="6156881" y="4445918"/>
          <a:ext cx="1023195" cy="303710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LIMPIAR</a:t>
          </a:r>
        </a:p>
      </xdr:txBody>
    </xdr:sp>
    <xdr:clientData/>
  </xdr:twoCellAnchor>
  <xdr:twoCellAnchor>
    <xdr:from>
      <xdr:col>5</xdr:col>
      <xdr:colOff>458224</xdr:colOff>
      <xdr:row>19</xdr:row>
      <xdr:rowOff>131974</xdr:rowOff>
    </xdr:from>
    <xdr:to>
      <xdr:col>7</xdr:col>
      <xdr:colOff>198888</xdr:colOff>
      <xdr:row>20</xdr:row>
      <xdr:rowOff>99896</xdr:rowOff>
    </xdr:to>
    <xdr:sp macro="[0]!PrincipalAnexo5_2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BF215413-E049-41DE-8F60-C080EEAE23E0}"/>
            </a:ext>
          </a:extLst>
        </xdr:cNvPr>
        <xdr:cNvSpPr/>
      </xdr:nvSpPr>
      <xdr:spPr>
        <a:xfrm>
          <a:off x="4169612" y="4435033"/>
          <a:ext cx="1730829" cy="299616"/>
        </a:xfrm>
        <a:prstGeom prst="roundRect">
          <a:avLst/>
        </a:prstGeom>
        <a:solidFill>
          <a:schemeClr val="bg1"/>
        </a:solidFill>
        <a:ln w="381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tx1"/>
              </a:solidFill>
            </a:rPr>
            <a:t>GENERAR TXT</a:t>
          </a:r>
        </a:p>
      </xdr:txBody>
    </xdr:sp>
    <xdr:clientData/>
  </xdr:twoCellAnchor>
  <xdr:twoCellAnchor>
    <xdr:from>
      <xdr:col>2</xdr:col>
      <xdr:colOff>35859</xdr:colOff>
      <xdr:row>23</xdr:row>
      <xdr:rowOff>170330</xdr:rowOff>
    </xdr:from>
    <xdr:to>
      <xdr:col>2</xdr:col>
      <xdr:colOff>879884</xdr:colOff>
      <xdr:row>23</xdr:row>
      <xdr:rowOff>391887</xdr:rowOff>
    </xdr:to>
    <xdr:sp macro="[0]!RellenarAnexo5_2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71A01B5-1F19-487F-9FC8-217FEEAA5731}"/>
            </a:ext>
          </a:extLst>
        </xdr:cNvPr>
        <xdr:cNvSpPr/>
      </xdr:nvSpPr>
      <xdr:spPr>
        <a:xfrm>
          <a:off x="627530" y="5647765"/>
          <a:ext cx="844025" cy="221557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 w="381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>
              <a:solidFill>
                <a:schemeClr val="bg1"/>
              </a:solidFill>
              <a:latin typeface="+mn-lt"/>
              <a:ea typeface="+mn-ea"/>
              <a:cs typeface="+mn-cs"/>
            </a:rPr>
            <a:t>RELLENAR</a:t>
          </a:r>
        </a:p>
      </xdr:txBody>
    </xdr:sp>
    <xdr:clientData/>
  </xdr:twoCellAnchor>
  <xdr:oneCellAnchor>
    <xdr:from>
      <xdr:col>9</xdr:col>
      <xdr:colOff>458041</xdr:colOff>
      <xdr:row>17</xdr:row>
      <xdr:rowOff>156121</xdr:rowOff>
    </xdr:from>
    <xdr:ext cx="381973" cy="269892"/>
    <xdr:pic>
      <xdr:nvPicPr>
        <xdr:cNvPr id="9" name="Imagen 8">
          <a:extLst>
            <a:ext uri="{FF2B5EF4-FFF2-40B4-BE49-F238E27FC236}">
              <a16:creationId xmlns:a16="http://schemas.microsoft.com/office/drawing/2014/main" id="{AC202F43-441F-49CA-A181-B455A78716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2281" y="3630841"/>
          <a:ext cx="381973" cy="269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458258</xdr:colOff>
      <xdr:row>15</xdr:row>
      <xdr:rowOff>83108</xdr:rowOff>
    </xdr:from>
    <xdr:ext cx="347857" cy="354735"/>
    <xdr:pic>
      <xdr:nvPicPr>
        <xdr:cNvPr id="10" name="Imagen 9" descr="Logo Whatsapp PNG para descargar gratis">
          <a:extLst>
            <a:ext uri="{FF2B5EF4-FFF2-40B4-BE49-F238E27FC236}">
              <a16:creationId xmlns:a16="http://schemas.microsoft.com/office/drawing/2014/main" id="{FA650211-09BF-4C91-89A7-9A5F014E4E5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7712498" y="2826308"/>
          <a:ext cx="347857" cy="354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463863</xdr:colOff>
      <xdr:row>17</xdr:row>
      <xdr:rowOff>472444</xdr:rowOff>
    </xdr:from>
    <xdr:ext cx="338119" cy="345263"/>
    <xdr:pic>
      <xdr:nvPicPr>
        <xdr:cNvPr id="11" name="Imagen 10" descr="Facebook - Inicia sesión o regístrate">
          <a:extLst>
            <a:ext uri="{FF2B5EF4-FFF2-40B4-BE49-F238E27FC236}">
              <a16:creationId xmlns:a16="http://schemas.microsoft.com/office/drawing/2014/main" id="{52699116-1E62-42B3-B57D-3AC95B766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8103" y="3947164"/>
          <a:ext cx="338119" cy="345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457264</xdr:colOff>
      <xdr:row>16</xdr:row>
      <xdr:rowOff>81120</xdr:rowOff>
    </xdr:from>
    <xdr:ext cx="347857" cy="355514"/>
    <xdr:pic>
      <xdr:nvPicPr>
        <xdr:cNvPr id="16" name="Imagen 15" descr="Logo Whatsapp PNG para descargar gratis">
          <a:extLst>
            <a:ext uri="{FF2B5EF4-FFF2-40B4-BE49-F238E27FC236}">
              <a16:creationId xmlns:a16="http://schemas.microsoft.com/office/drawing/2014/main" id="{A62A8064-7FA8-4816-977C-4C8BD5D2169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991" t="16772" r="18410" b="16244"/>
        <a:stretch/>
      </xdr:blipFill>
      <xdr:spPr bwMode="auto">
        <a:xfrm>
          <a:off x="7711504" y="3220560"/>
          <a:ext cx="347857" cy="355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LuceroLaRosaC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www.facebook.com/grupolrperu/" TargetMode="External"/><Relationship Id="rId1" Type="http://schemas.openxmlformats.org/officeDocument/2006/relationships/hyperlink" Target="https://wa.link/4zybul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LuceroLaRosaC" TargetMode="External"/><Relationship Id="rId2" Type="http://schemas.openxmlformats.org/officeDocument/2006/relationships/hyperlink" Target="https://www.facebook.com/grupolrperu/" TargetMode="External"/><Relationship Id="rId1" Type="http://schemas.openxmlformats.org/officeDocument/2006/relationships/hyperlink" Target="https://wa.link/4zybul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LuceroLaRosaC" TargetMode="External"/><Relationship Id="rId2" Type="http://schemas.openxmlformats.org/officeDocument/2006/relationships/hyperlink" Target="https://www.facebook.com/grupolrperu/" TargetMode="External"/><Relationship Id="rId1" Type="http://schemas.openxmlformats.org/officeDocument/2006/relationships/hyperlink" Target="https://wa.link/4zybul" TargetMode="External"/><Relationship Id="rId6" Type="http://schemas.openxmlformats.org/officeDocument/2006/relationships/comments" Target="../comments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LuceroLaRosaC" TargetMode="External"/><Relationship Id="rId2" Type="http://schemas.openxmlformats.org/officeDocument/2006/relationships/hyperlink" Target="https://www.facebook.com/grupolrperu/" TargetMode="External"/><Relationship Id="rId1" Type="http://schemas.openxmlformats.org/officeDocument/2006/relationships/hyperlink" Target="https://wa.link/4zybul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LuceroLaRosaC" TargetMode="External"/><Relationship Id="rId2" Type="http://schemas.openxmlformats.org/officeDocument/2006/relationships/hyperlink" Target="https://www.facebook.com/grupolrperu/" TargetMode="External"/><Relationship Id="rId1" Type="http://schemas.openxmlformats.org/officeDocument/2006/relationships/hyperlink" Target="https://wa.link/4zybul" TargetMode="External"/><Relationship Id="rId6" Type="http://schemas.openxmlformats.org/officeDocument/2006/relationships/comments" Target="../comments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D9215-2BBF-4D97-AB32-609CE88F132D}">
  <sheetPr codeName="Hoja7"/>
  <dimension ref="A1:F13"/>
  <sheetViews>
    <sheetView workbookViewId="0">
      <selection activeCell="F1" sqref="A1:F13"/>
    </sheetView>
  </sheetViews>
  <sheetFormatPr baseColWidth="10" defaultRowHeight="15" x14ac:dyDescent="0.25"/>
  <cols>
    <col min="1" max="6" width="11.5703125" style="34"/>
  </cols>
  <sheetData>
    <row r="1" spans="2:6" x14ac:dyDescent="0.25">
      <c r="B1" s="34" t="s">
        <v>203</v>
      </c>
      <c r="D1" s="34" t="s">
        <v>204</v>
      </c>
      <c r="F1" s="34" t="s">
        <v>210</v>
      </c>
    </row>
    <row r="2" spans="2:6" x14ac:dyDescent="0.25">
      <c r="B2" s="35" t="s">
        <v>55</v>
      </c>
      <c r="D2" s="35" t="s">
        <v>55</v>
      </c>
      <c r="F2" s="34">
        <v>0</v>
      </c>
    </row>
    <row r="3" spans="2:6" x14ac:dyDescent="0.25">
      <c r="B3" s="35" t="s">
        <v>197</v>
      </c>
      <c r="D3" s="35" t="s">
        <v>197</v>
      </c>
      <c r="F3" s="34">
        <v>1</v>
      </c>
    </row>
    <row r="4" spans="2:6" x14ac:dyDescent="0.25">
      <c r="B4" s="35" t="s">
        <v>39</v>
      </c>
      <c r="D4" s="35" t="s">
        <v>39</v>
      </c>
      <c r="F4" s="34">
        <v>2</v>
      </c>
    </row>
    <row r="5" spans="2:6" x14ac:dyDescent="0.25">
      <c r="D5" s="35" t="s">
        <v>198</v>
      </c>
    </row>
    <row r="6" spans="2:6" x14ac:dyDescent="0.25">
      <c r="D6" s="35" t="s">
        <v>171</v>
      </c>
      <c r="E6" s="34" t="s">
        <v>211</v>
      </c>
    </row>
    <row r="7" spans="2:6" x14ac:dyDescent="0.25">
      <c r="D7" s="35" t="s">
        <v>205</v>
      </c>
    </row>
    <row r="8" spans="2:6" x14ac:dyDescent="0.25">
      <c r="D8" s="35" t="s">
        <v>70</v>
      </c>
    </row>
    <row r="9" spans="2:6" x14ac:dyDescent="0.25">
      <c r="D9" s="35" t="s">
        <v>71</v>
      </c>
    </row>
    <row r="10" spans="2:6" x14ac:dyDescent="0.25">
      <c r="D10" s="35" t="s">
        <v>206</v>
      </c>
    </row>
    <row r="11" spans="2:6" x14ac:dyDescent="0.25">
      <c r="D11" s="35" t="s">
        <v>207</v>
      </c>
    </row>
    <row r="12" spans="2:6" x14ac:dyDescent="0.25">
      <c r="D12" s="35" t="s">
        <v>208</v>
      </c>
    </row>
    <row r="13" spans="2:6" x14ac:dyDescent="0.25">
      <c r="D13" s="35" t="s">
        <v>209</v>
      </c>
    </row>
  </sheetData>
  <phoneticPr fontId="2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9643C-6E7E-49C7-82C6-E75187D35E76}">
  <sheetPr codeName="Hoja1">
    <tabColor theme="0"/>
  </sheetPr>
  <dimension ref="A1:K72"/>
  <sheetViews>
    <sheetView topLeftCell="A43" zoomScale="85" zoomScaleNormal="85" workbookViewId="0">
      <selection activeCell="D69" sqref="D69"/>
    </sheetView>
  </sheetViews>
  <sheetFormatPr baseColWidth="10" defaultColWidth="0" defaultRowHeight="14.45" customHeight="1" zeroHeight="1" x14ac:dyDescent="0.25"/>
  <cols>
    <col min="1" max="1" width="2.85546875" style="9" customWidth="1"/>
    <col min="2" max="2" width="11.42578125" style="9" customWidth="1"/>
    <col min="3" max="3" width="10.85546875" style="9" customWidth="1"/>
    <col min="4" max="4" width="14" style="9" customWidth="1"/>
    <col min="5" max="5" width="27.42578125" style="9" customWidth="1"/>
    <col min="6" max="9" width="11.42578125" style="9" customWidth="1"/>
    <col min="10" max="10" width="14.42578125" style="9" customWidth="1"/>
    <col min="11" max="11" width="40.28515625" style="9" customWidth="1"/>
    <col min="12" max="16384" width="11.42578125" style="9" hidden="1"/>
  </cols>
  <sheetData>
    <row r="1" spans="2:11" ht="31.5" customHeight="1" x14ac:dyDescent="0.25">
      <c r="B1" s="31" t="s">
        <v>165</v>
      </c>
      <c r="C1" s="31"/>
      <c r="D1" s="31"/>
    </row>
    <row r="2" spans="2:11" ht="19.149999999999999" customHeight="1" x14ac:dyDescent="0.25">
      <c r="B2" s="10" t="s">
        <v>79</v>
      </c>
    </row>
    <row r="3" spans="2:11" ht="15" x14ac:dyDescent="0.25">
      <c r="B3" s="11"/>
    </row>
    <row r="4" spans="2:11" ht="15" customHeight="1" x14ac:dyDescent="0.25">
      <c r="B4" s="204" t="s">
        <v>78</v>
      </c>
      <c r="C4" s="204"/>
      <c r="D4" s="204"/>
      <c r="E4" s="204"/>
      <c r="F4" s="12" t="s">
        <v>80</v>
      </c>
      <c r="G4" s="209" t="s">
        <v>81</v>
      </c>
      <c r="H4" s="209"/>
      <c r="I4" s="209"/>
      <c r="J4" s="209"/>
    </row>
    <row r="5" spans="2:11" ht="22.9" customHeight="1" x14ac:dyDescent="0.25">
      <c r="B5" s="13">
        <v>14</v>
      </c>
      <c r="C5" s="198" t="s">
        <v>82</v>
      </c>
      <c r="D5" s="200"/>
      <c r="E5" s="14"/>
      <c r="F5" s="15"/>
      <c r="G5" s="233"/>
      <c r="H5" s="233"/>
      <c r="I5" s="233"/>
      <c r="J5" s="233"/>
    </row>
    <row r="6" spans="2:11" ht="45" customHeight="1" x14ac:dyDescent="0.25">
      <c r="B6" s="16"/>
      <c r="C6" s="226">
        <v>14.4</v>
      </c>
      <c r="D6" s="227"/>
      <c r="E6" s="17" t="s">
        <v>83</v>
      </c>
      <c r="F6" s="18">
        <v>140400</v>
      </c>
      <c r="G6" s="228" t="s">
        <v>186</v>
      </c>
      <c r="H6" s="229"/>
      <c r="I6" s="229"/>
      <c r="J6" s="229"/>
      <c r="K6" s="9" t="s">
        <v>84</v>
      </c>
    </row>
    <row r="7" spans="2:11" ht="45" customHeight="1" x14ac:dyDescent="0.25">
      <c r="B7" s="16"/>
      <c r="C7" s="226">
        <v>14.4</v>
      </c>
      <c r="D7" s="227"/>
      <c r="E7" s="16" t="s">
        <v>85</v>
      </c>
      <c r="F7" s="18">
        <v>140400</v>
      </c>
      <c r="G7" s="228" t="s">
        <v>172</v>
      </c>
      <c r="H7" s="229"/>
      <c r="I7" s="229"/>
      <c r="J7" s="229"/>
      <c r="K7" s="9" t="s">
        <v>86</v>
      </c>
    </row>
    <row r="8" spans="2:11" ht="30" x14ac:dyDescent="0.25">
      <c r="B8" s="16"/>
      <c r="C8" s="226">
        <v>14.4</v>
      </c>
      <c r="D8" s="227"/>
      <c r="E8" s="16" t="s">
        <v>87</v>
      </c>
      <c r="F8" s="18">
        <v>140400</v>
      </c>
      <c r="G8" s="228" t="s">
        <v>187</v>
      </c>
      <c r="H8" s="229"/>
      <c r="I8" s="229"/>
      <c r="J8" s="229"/>
      <c r="K8" s="9" t="s">
        <v>88</v>
      </c>
    </row>
    <row r="9" spans="2:11" ht="75" x14ac:dyDescent="0.25">
      <c r="B9" s="16"/>
      <c r="C9" s="226">
        <v>14.4</v>
      </c>
      <c r="D9" s="227"/>
      <c r="E9" s="16" t="s">
        <v>89</v>
      </c>
      <c r="F9" s="18">
        <v>140400</v>
      </c>
      <c r="G9" s="228" t="s">
        <v>183</v>
      </c>
      <c r="H9" s="229"/>
      <c r="I9" s="229"/>
      <c r="J9" s="229"/>
      <c r="K9" s="19" t="s">
        <v>90</v>
      </c>
    </row>
    <row r="10" spans="2:11" ht="75" x14ac:dyDescent="0.25">
      <c r="B10" s="16"/>
      <c r="C10" s="226">
        <v>14.4</v>
      </c>
      <c r="D10" s="227"/>
      <c r="E10" s="16" t="s">
        <v>91</v>
      </c>
      <c r="F10" s="18">
        <v>140400</v>
      </c>
      <c r="G10" s="228" t="s">
        <v>188</v>
      </c>
      <c r="H10" s="229"/>
      <c r="I10" s="229"/>
      <c r="J10" s="229"/>
      <c r="K10" s="19" t="s">
        <v>92</v>
      </c>
    </row>
    <row r="11" spans="2:11" ht="15" x14ac:dyDescent="0.25">
      <c r="B11" s="11"/>
    </row>
    <row r="12" spans="2:11" ht="15" x14ac:dyDescent="0.25">
      <c r="B12" s="20" t="s">
        <v>93</v>
      </c>
    </row>
    <row r="13" spans="2:11" ht="15" x14ac:dyDescent="0.25">
      <c r="B13" s="11"/>
    </row>
    <row r="14" spans="2:11" ht="15" x14ac:dyDescent="0.25">
      <c r="B14" s="12" t="s">
        <v>94</v>
      </c>
      <c r="C14" s="204" t="s">
        <v>95</v>
      </c>
      <c r="D14" s="204"/>
      <c r="E14" s="204" t="s">
        <v>96</v>
      </c>
      <c r="F14" s="204"/>
      <c r="G14" s="204"/>
    </row>
    <row r="15" spans="2:11" ht="15" x14ac:dyDescent="0.25">
      <c r="B15" s="21" t="s">
        <v>97</v>
      </c>
      <c r="C15" s="230" t="s">
        <v>98</v>
      </c>
      <c r="D15" s="231"/>
      <c r="E15" s="232" t="s">
        <v>99</v>
      </c>
      <c r="F15" s="232"/>
      <c r="G15" s="232"/>
    </row>
    <row r="16" spans="2:11" ht="15" x14ac:dyDescent="0.25"/>
    <row r="17" spans="2:8" ht="15" x14ac:dyDescent="0.25">
      <c r="B17" s="22" t="s">
        <v>100</v>
      </c>
      <c r="C17" s="188" t="s">
        <v>101</v>
      </c>
      <c r="D17" s="212"/>
      <c r="E17" s="211" t="s">
        <v>102</v>
      </c>
      <c r="F17" s="211"/>
      <c r="G17" s="211"/>
    </row>
    <row r="18" spans="2:8" ht="15" x14ac:dyDescent="0.25"/>
    <row r="19" spans="2:8" ht="15" x14ac:dyDescent="0.25">
      <c r="B19" s="22" t="s">
        <v>103</v>
      </c>
      <c r="C19" s="188" t="s">
        <v>104</v>
      </c>
      <c r="D19" s="212"/>
      <c r="E19" s="211" t="s">
        <v>105</v>
      </c>
      <c r="F19" s="211"/>
      <c r="G19" s="211"/>
    </row>
    <row r="20" spans="2:8" ht="15" x14ac:dyDescent="0.25"/>
    <row r="21" spans="2:8" ht="28.5" customHeight="1" x14ac:dyDescent="0.25">
      <c r="B21" s="22" t="s">
        <v>106</v>
      </c>
      <c r="C21" s="188" t="s">
        <v>107</v>
      </c>
      <c r="D21" s="212"/>
      <c r="E21" s="225" t="s">
        <v>108</v>
      </c>
      <c r="F21" s="225"/>
      <c r="G21" s="225"/>
    </row>
    <row r="22" spans="2:8" ht="15" x14ac:dyDescent="0.25"/>
    <row r="23" spans="2:8" ht="15" customHeight="1" x14ac:dyDescent="0.25">
      <c r="B23" s="24"/>
      <c r="C23" s="221"/>
      <c r="D23" s="222"/>
      <c r="E23" s="211" t="s">
        <v>109</v>
      </c>
      <c r="F23" s="211"/>
      <c r="G23" s="211"/>
    </row>
    <row r="24" spans="2:8" ht="15" x14ac:dyDescent="0.25">
      <c r="B24" s="22" t="s">
        <v>110</v>
      </c>
      <c r="C24" s="188" t="s">
        <v>111</v>
      </c>
      <c r="D24" s="212"/>
      <c r="E24" s="211" t="s">
        <v>112</v>
      </c>
      <c r="F24" s="211"/>
      <c r="G24" s="211"/>
    </row>
    <row r="25" spans="2:8" ht="15" x14ac:dyDescent="0.25"/>
    <row r="26" spans="2:8" ht="15.75" x14ac:dyDescent="0.25">
      <c r="B26" s="22" t="s">
        <v>113</v>
      </c>
      <c r="C26" s="223" t="s">
        <v>114</v>
      </c>
      <c r="D26" s="224"/>
      <c r="E26" s="216" t="s">
        <v>115</v>
      </c>
      <c r="F26" s="216"/>
      <c r="G26" s="216"/>
      <c r="H26" s="25">
        <v>140400</v>
      </c>
    </row>
    <row r="27" spans="2:8" ht="15" x14ac:dyDescent="0.25"/>
    <row r="28" spans="2:8" ht="15" x14ac:dyDescent="0.25">
      <c r="B28" s="26" t="s">
        <v>116</v>
      </c>
      <c r="C28" s="188" t="s">
        <v>117</v>
      </c>
      <c r="D28" s="212"/>
      <c r="E28" s="213" t="s">
        <v>175</v>
      </c>
      <c r="F28" s="211"/>
      <c r="G28" s="211"/>
    </row>
    <row r="29" spans="2:8" ht="15" customHeight="1" x14ac:dyDescent="0.25">
      <c r="B29" s="24"/>
      <c r="C29" s="218">
        <v>1</v>
      </c>
      <c r="D29" s="219"/>
      <c r="E29" s="220" t="s">
        <v>118</v>
      </c>
      <c r="F29" s="220"/>
      <c r="G29" s="220"/>
    </row>
    <row r="30" spans="2:8" ht="15" customHeight="1" x14ac:dyDescent="0.25">
      <c r="B30" s="24"/>
      <c r="C30" s="218">
        <v>2</v>
      </c>
      <c r="D30" s="219"/>
      <c r="E30" s="220" t="s">
        <v>119</v>
      </c>
      <c r="F30" s="220"/>
      <c r="G30" s="220"/>
    </row>
    <row r="31" spans="2:8" ht="15" customHeight="1" x14ac:dyDescent="0.25">
      <c r="B31" s="24"/>
      <c r="C31" s="218">
        <v>3</v>
      </c>
      <c r="D31" s="219"/>
      <c r="E31" s="220" t="s">
        <v>120</v>
      </c>
      <c r="F31" s="220"/>
      <c r="G31" s="220"/>
    </row>
    <row r="32" spans="2:8" ht="30" customHeight="1" x14ac:dyDescent="0.25">
      <c r="B32" s="24"/>
      <c r="C32" s="218">
        <v>4</v>
      </c>
      <c r="D32" s="219"/>
      <c r="E32" s="220" t="s">
        <v>121</v>
      </c>
      <c r="F32" s="220"/>
      <c r="G32" s="220"/>
    </row>
    <row r="33" spans="2:7" ht="32.25" customHeight="1" x14ac:dyDescent="0.25">
      <c r="B33" s="24"/>
      <c r="C33" s="218">
        <v>5</v>
      </c>
      <c r="D33" s="219"/>
      <c r="E33" s="220" t="s">
        <v>122</v>
      </c>
      <c r="F33" s="220"/>
      <c r="G33" s="220"/>
    </row>
    <row r="34" spans="2:7" ht="11.45" customHeight="1" x14ac:dyDescent="0.25"/>
    <row r="35" spans="2:7" ht="15" x14ac:dyDescent="0.25">
      <c r="B35" s="22" t="s">
        <v>123</v>
      </c>
      <c r="C35" s="188" t="s">
        <v>124</v>
      </c>
      <c r="D35" s="212"/>
      <c r="E35" s="211" t="s">
        <v>125</v>
      </c>
      <c r="F35" s="211"/>
      <c r="G35" s="211"/>
    </row>
    <row r="36" spans="2:7" ht="15" x14ac:dyDescent="0.25">
      <c r="B36" s="24"/>
      <c r="C36" s="194">
        <v>0</v>
      </c>
      <c r="D36" s="210"/>
      <c r="E36" s="211" t="s">
        <v>126</v>
      </c>
      <c r="F36" s="211"/>
      <c r="G36" s="211"/>
    </row>
    <row r="37" spans="2:7" ht="15" x14ac:dyDescent="0.25">
      <c r="B37" s="24"/>
      <c r="C37" s="194">
        <v>1</v>
      </c>
      <c r="D37" s="210"/>
      <c r="E37" s="211" t="s">
        <v>127</v>
      </c>
      <c r="F37" s="211"/>
      <c r="G37" s="211"/>
    </row>
    <row r="38" spans="2:7" ht="15" customHeight="1" x14ac:dyDescent="0.25">
      <c r="B38" s="24"/>
      <c r="C38" s="194">
        <v>2</v>
      </c>
      <c r="D38" s="210"/>
      <c r="E38" s="211" t="s">
        <v>128</v>
      </c>
      <c r="F38" s="211"/>
      <c r="G38" s="211"/>
    </row>
    <row r="39" spans="2:7" ht="15" customHeight="1" x14ac:dyDescent="0.25"/>
    <row r="40" spans="2:7" ht="15" customHeight="1" x14ac:dyDescent="0.25">
      <c r="B40" s="22" t="s">
        <v>129</v>
      </c>
      <c r="C40" s="188" t="s">
        <v>130</v>
      </c>
      <c r="D40" s="212"/>
      <c r="E40" s="211" t="s">
        <v>131</v>
      </c>
      <c r="F40" s="211"/>
      <c r="G40" s="211"/>
    </row>
    <row r="41" spans="2:7" ht="15" x14ac:dyDescent="0.25">
      <c r="B41" s="24"/>
      <c r="C41" s="194">
        <v>1</v>
      </c>
      <c r="D41" s="210"/>
      <c r="E41" s="211" t="s">
        <v>132</v>
      </c>
      <c r="F41" s="211"/>
      <c r="G41" s="211"/>
    </row>
    <row r="42" spans="2:7" ht="15" x14ac:dyDescent="0.25">
      <c r="B42" s="24"/>
      <c r="C42" s="194">
        <v>0</v>
      </c>
      <c r="D42" s="210"/>
      <c r="E42" s="211" t="s">
        <v>133</v>
      </c>
      <c r="F42" s="211"/>
      <c r="G42" s="211"/>
    </row>
    <row r="43" spans="2:7" ht="15" x14ac:dyDescent="0.25"/>
    <row r="44" spans="2:7" ht="15" customHeight="1" x14ac:dyDescent="0.25">
      <c r="B44" s="22" t="s">
        <v>134</v>
      </c>
      <c r="C44" s="188" t="s">
        <v>135</v>
      </c>
      <c r="D44" s="212"/>
      <c r="E44" s="211" t="s">
        <v>136</v>
      </c>
      <c r="F44" s="211"/>
      <c r="G44" s="211"/>
    </row>
    <row r="45" spans="2:7" ht="15" x14ac:dyDescent="0.25">
      <c r="B45" s="24"/>
      <c r="C45" s="194">
        <v>1</v>
      </c>
      <c r="D45" s="210"/>
      <c r="E45" s="217" t="s">
        <v>137</v>
      </c>
      <c r="F45" s="217"/>
      <c r="G45" s="217"/>
    </row>
    <row r="46" spans="2:7" ht="15" x14ac:dyDescent="0.25">
      <c r="B46" s="24"/>
      <c r="C46" s="194">
        <v>2</v>
      </c>
      <c r="D46" s="210"/>
      <c r="E46" s="211" t="s">
        <v>138</v>
      </c>
      <c r="F46" s="211"/>
      <c r="G46" s="211"/>
    </row>
    <row r="47" spans="2:7" ht="15" x14ac:dyDescent="0.25"/>
    <row r="48" spans="2:7" ht="30.75" customHeight="1" x14ac:dyDescent="0.25">
      <c r="B48" s="22" t="s">
        <v>139</v>
      </c>
      <c r="C48" s="188" t="s">
        <v>140</v>
      </c>
      <c r="D48" s="212"/>
      <c r="E48" s="213" t="s">
        <v>167</v>
      </c>
      <c r="F48" s="211"/>
      <c r="G48" s="211"/>
    </row>
    <row r="49" spans="2:9" ht="15" x14ac:dyDescent="0.25">
      <c r="B49" s="24"/>
      <c r="C49" s="214">
        <v>2</v>
      </c>
      <c r="D49" s="215"/>
      <c r="E49" s="216" t="s">
        <v>141</v>
      </c>
      <c r="F49" s="216"/>
      <c r="G49" s="216"/>
    </row>
    <row r="50" spans="2:9" ht="15" x14ac:dyDescent="0.25"/>
    <row r="51" spans="2:9" ht="15" customHeight="1" x14ac:dyDescent="0.25">
      <c r="B51" s="22" t="s">
        <v>142</v>
      </c>
      <c r="C51" s="188" t="s">
        <v>143</v>
      </c>
      <c r="D51" s="212"/>
      <c r="E51" s="213" t="s">
        <v>190</v>
      </c>
      <c r="F51" s="211"/>
      <c r="G51" s="211"/>
    </row>
    <row r="52" spans="2:9" ht="15" customHeight="1" x14ac:dyDescent="0.25">
      <c r="B52" s="24"/>
      <c r="C52" s="188" t="s">
        <v>143</v>
      </c>
      <c r="D52" s="212"/>
      <c r="E52" s="211" t="s">
        <v>144</v>
      </c>
      <c r="F52" s="211"/>
      <c r="G52" s="211"/>
    </row>
    <row r="53" spans="2:9" ht="45.6" customHeight="1" x14ac:dyDescent="0.25">
      <c r="B53" s="11"/>
    </row>
    <row r="54" spans="2:9" ht="15" x14ac:dyDescent="0.25">
      <c r="B54" s="27" t="s">
        <v>145</v>
      </c>
    </row>
    <row r="55" spans="2:9" ht="15" x14ac:dyDescent="0.25">
      <c r="B55" s="27" t="s">
        <v>146</v>
      </c>
    </row>
    <row r="56" spans="2:9" ht="15" x14ac:dyDescent="0.25">
      <c r="B56" s="11"/>
    </row>
    <row r="57" spans="2:9" ht="15" x14ac:dyDescent="0.25">
      <c r="B57" s="209" t="s">
        <v>147</v>
      </c>
      <c r="C57" s="209"/>
      <c r="D57" s="209"/>
      <c r="E57" s="209"/>
      <c r="F57" s="209"/>
      <c r="G57" s="209"/>
      <c r="H57" s="209"/>
    </row>
    <row r="58" spans="2:9" ht="15" x14ac:dyDescent="0.25">
      <c r="B58" s="209" t="s">
        <v>148</v>
      </c>
      <c r="C58" s="209"/>
      <c r="D58" s="209"/>
      <c r="E58" s="209" t="s">
        <v>81</v>
      </c>
      <c r="F58" s="209"/>
      <c r="G58" s="209"/>
      <c r="H58" s="209"/>
    </row>
    <row r="59" spans="2:9" ht="48.75" customHeight="1" x14ac:dyDescent="0.25">
      <c r="B59" s="198" t="s">
        <v>149</v>
      </c>
      <c r="C59" s="199"/>
      <c r="D59" s="200"/>
      <c r="E59" s="201" t="s">
        <v>150</v>
      </c>
      <c r="F59" s="202"/>
      <c r="G59" s="202"/>
      <c r="H59" s="203"/>
      <c r="I59" s="9" t="s">
        <v>84</v>
      </c>
    </row>
    <row r="60" spans="2:9" ht="10.9" customHeight="1" x14ac:dyDescent="0.25">
      <c r="B60" s="11"/>
    </row>
    <row r="61" spans="2:9" ht="15" x14ac:dyDescent="0.25">
      <c r="B61" s="20" t="s">
        <v>151</v>
      </c>
    </row>
    <row r="62" spans="2:9" ht="10.9" customHeight="1" x14ac:dyDescent="0.25">
      <c r="B62" s="28"/>
      <c r="C62" s="29"/>
      <c r="D62" s="29"/>
      <c r="E62" s="29"/>
      <c r="F62" s="29"/>
    </row>
    <row r="63" spans="2:9" ht="15" customHeight="1" x14ac:dyDescent="0.25">
      <c r="B63" s="204" t="s">
        <v>94</v>
      </c>
      <c r="C63" s="204"/>
      <c r="D63" s="12" t="s">
        <v>95</v>
      </c>
      <c r="E63" s="204" t="s">
        <v>96</v>
      </c>
      <c r="F63" s="204"/>
    </row>
    <row r="64" spans="2:9" ht="15" customHeight="1" x14ac:dyDescent="0.25">
      <c r="B64" s="205" t="s">
        <v>152</v>
      </c>
      <c r="C64" s="206"/>
      <c r="D64" s="30" t="s">
        <v>101</v>
      </c>
      <c r="E64" s="207" t="s">
        <v>102</v>
      </c>
      <c r="F64" s="208"/>
    </row>
    <row r="65" spans="2:6" ht="15" x14ac:dyDescent="0.25">
      <c r="B65" s="194">
        <v>12</v>
      </c>
      <c r="C65" s="195"/>
      <c r="D65" s="23" t="s">
        <v>153</v>
      </c>
      <c r="E65" s="192" t="s">
        <v>154</v>
      </c>
      <c r="F65" s="193"/>
    </row>
    <row r="66" spans="2:6" ht="15" x14ac:dyDescent="0.25">
      <c r="B66" s="188" t="s">
        <v>155</v>
      </c>
      <c r="C66" s="189"/>
      <c r="D66" s="23" t="s">
        <v>156</v>
      </c>
      <c r="E66" s="196" t="s">
        <v>157</v>
      </c>
      <c r="F66" s="197"/>
    </row>
    <row r="67" spans="2:6" ht="15" x14ac:dyDescent="0.25">
      <c r="B67" s="194">
        <v>16</v>
      </c>
      <c r="C67" s="195"/>
      <c r="D67" s="23" t="s">
        <v>153</v>
      </c>
      <c r="E67" s="192" t="s">
        <v>154</v>
      </c>
      <c r="F67" s="193"/>
    </row>
    <row r="68" spans="2:6" ht="15" x14ac:dyDescent="0.25">
      <c r="B68" s="188" t="s">
        <v>158</v>
      </c>
      <c r="C68" s="189"/>
      <c r="D68" s="23" t="s">
        <v>104</v>
      </c>
      <c r="E68" s="192" t="s">
        <v>159</v>
      </c>
      <c r="F68" s="193"/>
    </row>
    <row r="69" spans="2:6" ht="15" x14ac:dyDescent="0.25">
      <c r="B69" s="188" t="s">
        <v>160</v>
      </c>
      <c r="C69" s="189"/>
      <c r="D69" s="23" t="s">
        <v>107</v>
      </c>
      <c r="E69" s="192" t="s">
        <v>161</v>
      </c>
      <c r="F69" s="193"/>
    </row>
    <row r="70" spans="2:6" ht="15" x14ac:dyDescent="0.25">
      <c r="B70" s="194">
        <v>23</v>
      </c>
      <c r="C70" s="195"/>
      <c r="D70" s="23" t="s">
        <v>153</v>
      </c>
      <c r="E70" s="192" t="s">
        <v>154</v>
      </c>
      <c r="F70" s="193"/>
    </row>
    <row r="71" spans="2:6" ht="15" customHeight="1" x14ac:dyDescent="0.25">
      <c r="B71" s="188" t="s">
        <v>162</v>
      </c>
      <c r="C71" s="189"/>
      <c r="D71" s="23" t="s">
        <v>163</v>
      </c>
      <c r="E71" s="190" t="s">
        <v>164</v>
      </c>
      <c r="F71" s="191"/>
    </row>
    <row r="72" spans="2:6" ht="15" x14ac:dyDescent="0.25"/>
  </sheetData>
  <mergeCells count="93">
    <mergeCell ref="B4:E4"/>
    <mergeCell ref="G4:J4"/>
    <mergeCell ref="C5:D5"/>
    <mergeCell ref="G5:J5"/>
    <mergeCell ref="C6:D6"/>
    <mergeCell ref="G6:J6"/>
    <mergeCell ref="C7:D7"/>
    <mergeCell ref="G7:J7"/>
    <mergeCell ref="C8:D8"/>
    <mergeCell ref="G8:J8"/>
    <mergeCell ref="C9:D9"/>
    <mergeCell ref="G9:J9"/>
    <mergeCell ref="C10:D10"/>
    <mergeCell ref="G10:J10"/>
    <mergeCell ref="C14:D14"/>
    <mergeCell ref="E14:G14"/>
    <mergeCell ref="C15:D15"/>
    <mergeCell ref="E15:G15"/>
    <mergeCell ref="C17:D17"/>
    <mergeCell ref="E17:G17"/>
    <mergeCell ref="C19:D19"/>
    <mergeCell ref="E19:G19"/>
    <mergeCell ref="C21:D21"/>
    <mergeCell ref="E21:G21"/>
    <mergeCell ref="C23:D23"/>
    <mergeCell ref="E23:G23"/>
    <mergeCell ref="C24:D24"/>
    <mergeCell ref="E24:G24"/>
    <mergeCell ref="C26:D26"/>
    <mergeCell ref="E26:G26"/>
    <mergeCell ref="C28:D28"/>
    <mergeCell ref="E28:G28"/>
    <mergeCell ref="C29:D29"/>
    <mergeCell ref="E29:G29"/>
    <mergeCell ref="C30:D30"/>
    <mergeCell ref="E30:G30"/>
    <mergeCell ref="C31:D31"/>
    <mergeCell ref="E31:G31"/>
    <mergeCell ref="C32:D32"/>
    <mergeCell ref="E32:G32"/>
    <mergeCell ref="C33:D33"/>
    <mergeCell ref="E33:G33"/>
    <mergeCell ref="C35:D35"/>
    <mergeCell ref="E35:G35"/>
    <mergeCell ref="C36:D36"/>
    <mergeCell ref="E36:G36"/>
    <mergeCell ref="C37:D37"/>
    <mergeCell ref="E37:G37"/>
    <mergeCell ref="C38:D38"/>
    <mergeCell ref="E38:G38"/>
    <mergeCell ref="C40:D40"/>
    <mergeCell ref="E40:G40"/>
    <mergeCell ref="C41:D41"/>
    <mergeCell ref="E41:G41"/>
    <mergeCell ref="C42:D42"/>
    <mergeCell ref="E42:G42"/>
    <mergeCell ref="C44:D44"/>
    <mergeCell ref="E44:G44"/>
    <mergeCell ref="C45:D45"/>
    <mergeCell ref="E45:G45"/>
    <mergeCell ref="B58:D58"/>
    <mergeCell ref="E58:H58"/>
    <mergeCell ref="C46:D46"/>
    <mergeCell ref="E46:G46"/>
    <mergeCell ref="C48:D48"/>
    <mergeCell ref="E48:G48"/>
    <mergeCell ref="C49:D49"/>
    <mergeCell ref="E49:G49"/>
    <mergeCell ref="C51:D51"/>
    <mergeCell ref="E51:G51"/>
    <mergeCell ref="C52:D52"/>
    <mergeCell ref="E52:G52"/>
    <mergeCell ref="B57:H57"/>
    <mergeCell ref="B59:D59"/>
    <mergeCell ref="E59:H59"/>
    <mergeCell ref="B63:C63"/>
    <mergeCell ref="E63:F63"/>
    <mergeCell ref="B64:C64"/>
    <mergeCell ref="E64:F64"/>
    <mergeCell ref="B65:C65"/>
    <mergeCell ref="E65:F65"/>
    <mergeCell ref="B66:C66"/>
    <mergeCell ref="E66:F66"/>
    <mergeCell ref="B67:C67"/>
    <mergeCell ref="E67:F67"/>
    <mergeCell ref="B71:C71"/>
    <mergeCell ref="E71:F71"/>
    <mergeCell ref="B68:C68"/>
    <mergeCell ref="E68:F68"/>
    <mergeCell ref="B69:C69"/>
    <mergeCell ref="E69:F69"/>
    <mergeCell ref="B70:C70"/>
    <mergeCell ref="E70:F7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E9CD-2B08-42EE-B490-68611751BDDF}">
  <sheetPr codeName="Hoja2">
    <tabColor theme="1" tint="0.34998626667073579"/>
  </sheetPr>
  <dimension ref="A1:AJ32"/>
  <sheetViews>
    <sheetView tabSelected="1" zoomScale="70" zoomScaleNormal="70" workbookViewId="0">
      <selection activeCell="I9" sqref="I9"/>
    </sheetView>
  </sheetViews>
  <sheetFormatPr baseColWidth="10" defaultColWidth="11.5703125" defaultRowHeight="15" x14ac:dyDescent="0.25"/>
  <cols>
    <col min="1" max="1" width="2.42578125" style="41" customWidth="1"/>
    <col min="2" max="2" width="6.28515625" style="41" customWidth="1"/>
    <col min="3" max="3" width="13.28515625" style="41" customWidth="1"/>
    <col min="4" max="4" width="45.5703125" style="41" bestFit="1" customWidth="1"/>
    <col min="5" max="5" width="13.140625" style="41" customWidth="1"/>
    <col min="6" max="6" width="16.85546875" style="41" customWidth="1"/>
    <col min="7" max="7" width="16.5703125" style="41" bestFit="1" customWidth="1"/>
    <col min="8" max="8" width="16.28515625" style="41" bestFit="1" customWidth="1"/>
    <col min="9" max="9" width="13.85546875" style="41" customWidth="1"/>
    <col min="10" max="10" width="12.85546875" style="41" bestFit="1" customWidth="1"/>
    <col min="11" max="11" width="14.7109375" style="41" customWidth="1"/>
    <col min="12" max="12" width="14.85546875" style="41" customWidth="1"/>
    <col min="13" max="13" width="17.7109375" style="41" customWidth="1"/>
    <col min="14" max="14" width="17.140625" style="41" bestFit="1" customWidth="1"/>
    <col min="15" max="15" width="30.5703125" style="41" bestFit="1" customWidth="1"/>
    <col min="16" max="16" width="20.85546875" style="41" customWidth="1"/>
    <col min="17" max="19" width="13.5703125" style="41" bestFit="1" customWidth="1"/>
    <col min="20" max="20" width="15.28515625" style="41" bestFit="1" customWidth="1"/>
    <col min="21" max="21" width="15" style="41" bestFit="1" customWidth="1"/>
    <col min="22" max="22" width="13.5703125" style="41" bestFit="1" customWidth="1"/>
    <col min="23" max="23" width="9" style="41" customWidth="1"/>
    <col min="24" max="24" width="13.5703125" style="41" bestFit="1" customWidth="1"/>
    <col min="25" max="25" width="10" style="41" customWidth="1"/>
    <col min="26" max="26" width="11.7109375" style="41" customWidth="1"/>
    <col min="27" max="27" width="14.140625" style="41" bestFit="1" customWidth="1"/>
    <col min="28" max="28" width="13.5703125" style="41" bestFit="1" customWidth="1"/>
    <col min="29" max="29" width="8.42578125" style="41" bestFit="1" customWidth="1"/>
    <col min="30" max="30" width="12" style="41" bestFit="1" customWidth="1"/>
    <col min="31" max="31" width="13" style="41" customWidth="1"/>
    <col min="32" max="32" width="10" style="41" customWidth="1"/>
    <col min="33" max="33" width="9.7109375" style="41" customWidth="1"/>
    <col min="34" max="34" width="11.28515625" style="41" customWidth="1"/>
    <col min="35" max="35" width="12.28515625" style="41" customWidth="1"/>
    <col min="36" max="36" width="18.28515625" style="41" customWidth="1"/>
    <col min="37" max="16384" width="11.5703125" style="41"/>
  </cols>
  <sheetData>
    <row r="1" spans="1:36" ht="14.45" customHeight="1" x14ac:dyDescent="0.25">
      <c r="B1" s="41" t="s">
        <v>179</v>
      </c>
      <c r="C1" s="42"/>
      <c r="D1" s="43" t="s">
        <v>176</v>
      </c>
      <c r="E1" s="44"/>
    </row>
    <row r="2" spans="1:36" ht="14.45" customHeight="1" x14ac:dyDescent="0.25">
      <c r="B2" s="41" t="s">
        <v>178</v>
      </c>
      <c r="C2" s="45"/>
      <c r="D2" s="46" t="s">
        <v>231</v>
      </c>
      <c r="E2" s="45"/>
      <c r="F2" s="32"/>
      <c r="G2" s="47"/>
      <c r="H2" s="47"/>
      <c r="I2" s="32"/>
      <c r="J2" s="32"/>
      <c r="K2" s="32"/>
      <c r="L2" s="32"/>
      <c r="M2" s="32"/>
      <c r="N2" s="32"/>
      <c r="O2" s="32"/>
    </row>
    <row r="3" spans="1:36" x14ac:dyDescent="0.25">
      <c r="B3" s="41" t="s">
        <v>5</v>
      </c>
      <c r="C3" s="32"/>
      <c r="D3" s="48">
        <v>20602891683</v>
      </c>
      <c r="E3" s="234" t="s">
        <v>38</v>
      </c>
      <c r="F3" s="234"/>
      <c r="G3" s="234"/>
      <c r="H3" s="47"/>
      <c r="I3" s="32"/>
      <c r="J3" s="32"/>
      <c r="K3" s="32"/>
      <c r="L3" s="32"/>
      <c r="M3" s="32"/>
      <c r="N3" s="32"/>
      <c r="O3" s="32"/>
    </row>
    <row r="4" spans="1:36" x14ac:dyDescent="0.25">
      <c r="B4" s="41" t="s">
        <v>180</v>
      </c>
      <c r="C4" s="32"/>
      <c r="D4" s="49" t="s">
        <v>181</v>
      </c>
      <c r="E4" s="32"/>
      <c r="F4" s="32"/>
      <c r="G4" s="47"/>
      <c r="H4" s="47"/>
      <c r="I4" s="32"/>
      <c r="J4" s="32"/>
      <c r="K4" s="32"/>
      <c r="L4" s="32"/>
      <c r="M4" s="32"/>
      <c r="N4" s="32"/>
      <c r="O4" s="32"/>
    </row>
    <row r="5" spans="1:36" x14ac:dyDescent="0.25">
      <c r="B5" s="41" t="s">
        <v>170</v>
      </c>
      <c r="C5" s="32"/>
      <c r="D5" s="48">
        <v>2023</v>
      </c>
      <c r="E5" s="32"/>
      <c r="F5" s="32"/>
      <c r="G5" s="47"/>
      <c r="H5" s="47"/>
      <c r="I5" s="32"/>
      <c r="J5" s="32"/>
      <c r="K5" s="32"/>
      <c r="L5" s="32"/>
      <c r="M5" s="32"/>
      <c r="N5" s="32"/>
      <c r="O5" s="32"/>
    </row>
    <row r="6" spans="1:36" x14ac:dyDescent="0.25">
      <c r="B6" s="41" t="s">
        <v>169</v>
      </c>
      <c r="C6" s="32"/>
      <c r="D6" s="50" t="s">
        <v>171</v>
      </c>
      <c r="E6" s="32"/>
      <c r="F6" s="32"/>
      <c r="G6" s="47"/>
      <c r="H6" s="47"/>
      <c r="I6" s="32"/>
      <c r="J6" s="32"/>
      <c r="K6" s="32"/>
      <c r="L6" s="32"/>
      <c r="M6" s="32"/>
      <c r="N6" s="32"/>
      <c r="O6" s="32"/>
    </row>
    <row r="7" spans="1:36" x14ac:dyDescent="0.25">
      <c r="B7" s="41" t="s">
        <v>182</v>
      </c>
      <c r="C7" s="32"/>
      <c r="D7" s="187" t="s">
        <v>55</v>
      </c>
      <c r="E7" s="51" t="s">
        <v>245</v>
      </c>
      <c r="F7" s="32"/>
      <c r="G7" s="47"/>
      <c r="H7" s="47"/>
      <c r="I7" s="32"/>
      <c r="J7" s="32"/>
      <c r="K7" s="32"/>
      <c r="L7" s="32"/>
      <c r="M7" s="32"/>
      <c r="N7" s="32"/>
      <c r="O7" s="32"/>
    </row>
    <row r="8" spans="1:36" x14ac:dyDescent="0.25">
      <c r="C8" s="32"/>
      <c r="D8" s="32"/>
      <c r="E8" s="32"/>
      <c r="F8" s="32"/>
      <c r="G8" s="47"/>
      <c r="H8" s="47"/>
      <c r="I8" s="32"/>
      <c r="J8" s="32"/>
      <c r="K8" s="32"/>
      <c r="L8" s="32"/>
      <c r="M8" s="32"/>
      <c r="N8" s="32"/>
      <c r="O8" s="32"/>
    </row>
    <row r="9" spans="1:36" ht="21" customHeight="1" x14ac:dyDescent="0.25">
      <c r="A9" s="52"/>
      <c r="B9" s="53"/>
      <c r="C9" s="54"/>
      <c r="D9" s="54"/>
      <c r="E9" s="55" t="s">
        <v>0</v>
      </c>
      <c r="F9" s="169"/>
      <c r="G9" s="170"/>
      <c r="H9" s="170"/>
      <c r="I9" s="169"/>
      <c r="J9" s="169"/>
      <c r="K9" s="169"/>
      <c r="L9" s="169"/>
      <c r="M9" s="169"/>
      <c r="N9" s="169"/>
      <c r="O9" s="169"/>
      <c r="P9" s="56"/>
      <c r="Q9" s="56"/>
      <c r="R9" s="56"/>
      <c r="S9" s="56"/>
      <c r="T9" s="56"/>
      <c r="U9" s="56"/>
      <c r="V9" s="56"/>
      <c r="W9" s="56"/>
      <c r="X9" s="56"/>
      <c r="Y9" s="56"/>
      <c r="Z9" s="57"/>
      <c r="AA9" s="56"/>
      <c r="AB9" s="56"/>
      <c r="AC9" s="58"/>
      <c r="AD9" s="56"/>
      <c r="AE9" s="56"/>
      <c r="AF9" s="56"/>
      <c r="AG9" s="56"/>
      <c r="AH9" s="56"/>
      <c r="AI9" s="56"/>
      <c r="AJ9" s="56"/>
    </row>
    <row r="10" spans="1:36" ht="29.25" thickBot="1" x14ac:dyDescent="0.5">
      <c r="A10" s="59"/>
      <c r="B10" s="59"/>
      <c r="C10" s="60"/>
      <c r="D10" s="61"/>
      <c r="E10" s="62"/>
      <c r="F10" s="171"/>
      <c r="G10" s="172"/>
      <c r="H10" s="172"/>
      <c r="I10" s="171"/>
      <c r="J10" s="171"/>
      <c r="K10" s="173" t="s">
        <v>229</v>
      </c>
      <c r="L10" s="174" t="s">
        <v>230</v>
      </c>
      <c r="M10" s="171"/>
      <c r="N10" s="171"/>
      <c r="O10" s="171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4"/>
      <c r="AA10" s="63"/>
      <c r="AB10" s="63"/>
      <c r="AC10" s="58"/>
      <c r="AD10" s="63"/>
      <c r="AE10" s="63"/>
      <c r="AF10" s="63"/>
      <c r="AG10" s="63"/>
      <c r="AH10" s="63"/>
      <c r="AI10" s="63"/>
      <c r="AJ10" s="63"/>
    </row>
    <row r="11" spans="1:36" ht="49.15" customHeight="1" x14ac:dyDescent="0.25">
      <c r="A11" s="59"/>
      <c r="B11" s="59"/>
      <c r="C11" s="60"/>
      <c r="D11" s="61"/>
      <c r="E11" s="65"/>
      <c r="F11" s="175"/>
      <c r="G11" s="172"/>
      <c r="H11" s="176"/>
      <c r="I11" s="171"/>
      <c r="J11" s="171"/>
      <c r="K11" s="177" t="s">
        <v>229</v>
      </c>
      <c r="L11" s="178" t="s">
        <v>228</v>
      </c>
      <c r="M11" s="171"/>
      <c r="N11" s="171"/>
      <c r="O11" s="171"/>
      <c r="P11" s="67" t="str">
        <f t="shared" ref="P11:AB11" si="0">+P19</f>
        <v>EXPORTACION</v>
      </c>
      <c r="Q11" s="68" t="str">
        <f t="shared" si="0"/>
        <v>BASE IMPONIBLE GRAVADA</v>
      </c>
      <c r="R11" s="69" t="str">
        <f t="shared" si="0"/>
        <v>DESCUENTO BASE IMPONIBLE GRAVADA</v>
      </c>
      <c r="S11" s="68" t="str">
        <f t="shared" si="0"/>
        <v>IGV 18% Y 10%</v>
      </c>
      <c r="T11" s="69" t="str">
        <f t="shared" si="0"/>
        <v>DESCUENTO IGV  18% Y 10%</v>
      </c>
      <c r="U11" s="70" t="str">
        <f t="shared" si="0"/>
        <v>EXONERADO</v>
      </c>
      <c r="V11" s="70" t="str">
        <f t="shared" si="0"/>
        <v>INAFECTO</v>
      </c>
      <c r="W11" s="71" t="str">
        <f t="shared" si="0"/>
        <v>I.S.C</v>
      </c>
      <c r="X11" s="72" t="str">
        <f t="shared" si="0"/>
        <v>BASE IMPONIBLE IVAP - ARROZ PILADO</v>
      </c>
      <c r="Y11" s="72" t="str">
        <f t="shared" si="0"/>
        <v>IVAP - ARROZ PILADO</v>
      </c>
      <c r="Z11" s="73" t="str">
        <f t="shared" si="0"/>
        <v>ICBPER-BOLSAS</v>
      </c>
      <c r="AA11" s="74" t="str">
        <f t="shared" si="0"/>
        <v>OTROS CONCEPTOS / TRIBUTOS</v>
      </c>
      <c r="AB11" s="75" t="str">
        <f t="shared" si="0"/>
        <v>IMPORTE TOTAL</v>
      </c>
      <c r="AC11" s="58"/>
      <c r="AD11" s="63"/>
      <c r="AE11" s="63"/>
      <c r="AF11" s="63"/>
      <c r="AG11" s="63"/>
      <c r="AH11" s="63"/>
      <c r="AI11" s="63"/>
      <c r="AJ11" s="63"/>
    </row>
    <row r="12" spans="1:36" ht="26.25" x14ac:dyDescent="0.25">
      <c r="A12" s="59"/>
      <c r="B12" s="59"/>
      <c r="C12" s="60"/>
      <c r="D12" s="61"/>
      <c r="E12" s="65"/>
      <c r="F12" s="175"/>
      <c r="G12" s="172"/>
      <c r="H12" s="176"/>
      <c r="I12" s="171"/>
      <c r="J12" s="171"/>
      <c r="K12" s="177" t="s">
        <v>224</v>
      </c>
      <c r="L12" s="178" t="s">
        <v>225</v>
      </c>
      <c r="M12" s="171"/>
      <c r="N12" s="171"/>
      <c r="O12" s="171"/>
      <c r="P12" s="165">
        <f t="shared" ref="P12:AB12" si="1">+SUM(P20:P1048576)</f>
        <v>0</v>
      </c>
      <c r="Q12" s="165">
        <f t="shared" si="1"/>
        <v>105.95</v>
      </c>
      <c r="R12" s="165">
        <f t="shared" si="1"/>
        <v>0</v>
      </c>
      <c r="S12" s="165">
        <f t="shared" si="1"/>
        <v>19.05</v>
      </c>
      <c r="T12" s="165">
        <f t="shared" si="1"/>
        <v>0</v>
      </c>
      <c r="U12" s="165">
        <f t="shared" si="1"/>
        <v>0</v>
      </c>
      <c r="V12" s="165">
        <f t="shared" si="1"/>
        <v>0</v>
      </c>
      <c r="W12" s="165">
        <f t="shared" si="1"/>
        <v>0</v>
      </c>
      <c r="X12" s="165">
        <f t="shared" si="1"/>
        <v>0</v>
      </c>
      <c r="Y12" s="165">
        <f t="shared" si="1"/>
        <v>0</v>
      </c>
      <c r="Z12" s="165">
        <f t="shared" si="1"/>
        <v>0</v>
      </c>
      <c r="AA12" s="165">
        <f t="shared" si="1"/>
        <v>0</v>
      </c>
      <c r="AB12" s="165">
        <f t="shared" si="1"/>
        <v>125</v>
      </c>
      <c r="AC12" s="58"/>
      <c r="AD12" s="63"/>
      <c r="AE12" s="63"/>
      <c r="AF12" s="63"/>
      <c r="AG12" s="63"/>
      <c r="AH12" s="63"/>
      <c r="AI12" s="63"/>
      <c r="AJ12" s="63"/>
    </row>
    <row r="13" spans="1:36" ht="26.25" x14ac:dyDescent="0.25">
      <c r="A13" s="53"/>
      <c r="B13" s="53"/>
      <c r="C13" s="60"/>
      <c r="D13" s="54"/>
      <c r="E13" s="55"/>
      <c r="F13" s="169"/>
      <c r="G13" s="170"/>
      <c r="H13" s="179"/>
      <c r="I13" s="169"/>
      <c r="J13" s="169"/>
      <c r="K13" s="177" t="s">
        <v>226</v>
      </c>
      <c r="L13" s="178" t="s">
        <v>227</v>
      </c>
      <c r="M13" s="169"/>
      <c r="N13" s="169"/>
      <c r="O13" s="169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7" t="s">
        <v>1</v>
      </c>
      <c r="AA13" s="165">
        <f>+SUM(P12:AA12)</f>
        <v>125</v>
      </c>
      <c r="AB13" s="165">
        <f>+AB12</f>
        <v>125</v>
      </c>
      <c r="AC13" s="58"/>
      <c r="AD13" s="56"/>
      <c r="AE13" s="56"/>
      <c r="AF13" s="56"/>
      <c r="AG13" s="56"/>
      <c r="AH13" s="56"/>
      <c r="AI13" s="56"/>
      <c r="AJ13" s="56"/>
    </row>
    <row r="14" spans="1:36" ht="41.45" customHeight="1" x14ac:dyDescent="0.35">
      <c r="A14" s="53"/>
      <c r="B14" s="76"/>
      <c r="C14" s="54"/>
      <c r="D14" s="54"/>
      <c r="E14" s="55"/>
      <c r="F14" s="169"/>
      <c r="G14" s="170"/>
      <c r="H14" s="170"/>
      <c r="I14" s="169"/>
      <c r="J14" s="169"/>
      <c r="K14" s="177"/>
      <c r="L14" s="169"/>
      <c r="M14" s="169"/>
      <c r="N14" s="169"/>
      <c r="O14" s="169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7" t="s">
        <v>43</v>
      </c>
      <c r="AA14" s="165">
        <f>+AA13-AB13</f>
        <v>0</v>
      </c>
      <c r="AB14" s="168"/>
      <c r="AC14" s="58"/>
      <c r="AD14" s="56"/>
      <c r="AE14" s="56"/>
      <c r="AF14" s="56"/>
      <c r="AG14" s="56"/>
      <c r="AH14" s="56"/>
      <c r="AI14" s="56"/>
      <c r="AJ14" s="56"/>
    </row>
    <row r="15" spans="1:36" ht="23.25" x14ac:dyDescent="0.35">
      <c r="A15" s="56"/>
      <c r="B15" s="77" t="s">
        <v>195</v>
      </c>
      <c r="C15" s="78"/>
      <c r="D15" s="79"/>
      <c r="E15" s="80"/>
      <c r="F15" s="80"/>
      <c r="G15" s="81"/>
      <c r="H15" s="82"/>
      <c r="I15" s="83"/>
      <c r="J15" s="83"/>
      <c r="K15" s="66"/>
      <c r="L15" s="83"/>
      <c r="M15" s="83"/>
      <c r="N15" s="83"/>
      <c r="O15" s="83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84"/>
      <c r="AA15" s="56"/>
      <c r="AB15" s="56"/>
      <c r="AC15" s="83"/>
      <c r="AD15" s="83"/>
      <c r="AE15" s="56"/>
      <c r="AF15" s="56"/>
      <c r="AG15" s="56"/>
      <c r="AH15" s="56"/>
      <c r="AI15" s="56"/>
      <c r="AJ15" s="56"/>
    </row>
    <row r="16" spans="1:36" ht="23.25" x14ac:dyDescent="0.35">
      <c r="A16" s="85"/>
      <c r="B16" s="77" t="s">
        <v>194</v>
      </c>
      <c r="C16" s="86"/>
      <c r="D16" s="87"/>
      <c r="E16" s="87"/>
      <c r="F16" s="87"/>
      <c r="G16" s="88"/>
      <c r="H16" s="82"/>
      <c r="I16" s="89"/>
      <c r="J16" s="89"/>
      <c r="K16" s="66"/>
      <c r="L16" s="89"/>
      <c r="M16" s="89"/>
      <c r="N16" s="89"/>
      <c r="O16" s="89"/>
      <c r="P16" s="90"/>
      <c r="Q16" s="56"/>
      <c r="R16" s="90"/>
      <c r="S16" s="90"/>
      <c r="T16" s="90"/>
      <c r="U16" s="90"/>
      <c r="V16" s="90"/>
      <c r="W16" s="90"/>
      <c r="X16" s="90"/>
      <c r="Y16" s="90"/>
      <c r="Z16" s="91"/>
      <c r="AA16" s="90"/>
      <c r="AB16" s="90"/>
      <c r="AC16" s="90"/>
      <c r="AD16" s="90"/>
      <c r="AE16" s="90"/>
      <c r="AF16" s="90"/>
      <c r="AG16" s="90"/>
      <c r="AH16" s="90"/>
      <c r="AI16" s="90"/>
      <c r="AJ16" s="90"/>
    </row>
    <row r="17" spans="1:36" ht="43.9" customHeight="1" thickBot="1" x14ac:dyDescent="0.3">
      <c r="A17" s="85"/>
      <c r="B17" s="89"/>
      <c r="C17" s="89"/>
      <c r="D17" s="89"/>
      <c r="E17" s="89"/>
      <c r="F17" s="89"/>
      <c r="G17" s="89"/>
      <c r="H17" s="90"/>
      <c r="I17" s="90"/>
      <c r="J17" s="90"/>
      <c r="K17" s="90"/>
      <c r="L17" s="90"/>
      <c r="M17" s="90"/>
      <c r="N17" s="90"/>
      <c r="O17" s="90"/>
      <c r="P17" s="90"/>
      <c r="Q17" s="56"/>
      <c r="R17" s="56"/>
      <c r="S17" s="56"/>
      <c r="T17" s="56"/>
      <c r="U17" s="56"/>
      <c r="V17" s="56"/>
      <c r="W17" s="56"/>
      <c r="X17" s="56"/>
      <c r="Y17" s="90"/>
      <c r="Z17" s="91"/>
      <c r="AA17" s="90"/>
      <c r="AB17" s="90"/>
      <c r="AC17" s="90"/>
      <c r="AD17" s="90"/>
      <c r="AE17" s="90"/>
      <c r="AF17" s="90"/>
      <c r="AG17" s="90"/>
      <c r="AH17" s="90"/>
      <c r="AI17" s="90"/>
      <c r="AJ17" s="90">
        <f>COLUMN()</f>
        <v>36</v>
      </c>
    </row>
    <row r="18" spans="1:36" ht="15.75" thickBot="1" x14ac:dyDescent="0.3">
      <c r="A18" s="85"/>
      <c r="B18" s="92" t="s">
        <v>2</v>
      </c>
      <c r="C18" s="93">
        <v>1</v>
      </c>
      <c r="D18" s="93">
        <v>2</v>
      </c>
      <c r="E18" s="93">
        <v>3</v>
      </c>
      <c r="F18" s="93">
        <v>4</v>
      </c>
      <c r="G18" s="92">
        <v>5</v>
      </c>
      <c r="H18" s="92">
        <v>6</v>
      </c>
      <c r="I18" s="93">
        <v>7</v>
      </c>
      <c r="J18" s="93">
        <v>8</v>
      </c>
      <c r="K18" s="93">
        <v>9</v>
      </c>
      <c r="L18" s="93">
        <v>10</v>
      </c>
      <c r="M18" s="93">
        <v>11</v>
      </c>
      <c r="N18" s="93">
        <v>12</v>
      </c>
      <c r="O18" s="93">
        <v>13</v>
      </c>
      <c r="P18" s="92">
        <v>14</v>
      </c>
      <c r="Q18" s="92">
        <v>15</v>
      </c>
      <c r="R18" s="92">
        <v>16</v>
      </c>
      <c r="S18" s="92">
        <v>17</v>
      </c>
      <c r="T18" s="92">
        <v>18</v>
      </c>
      <c r="U18" s="92">
        <v>19</v>
      </c>
      <c r="V18" s="92">
        <v>20</v>
      </c>
      <c r="W18" s="92">
        <v>21</v>
      </c>
      <c r="X18" s="94">
        <v>22</v>
      </c>
      <c r="Y18" s="94">
        <v>23</v>
      </c>
      <c r="Z18" s="92">
        <v>24</v>
      </c>
      <c r="AA18" s="92">
        <v>25</v>
      </c>
      <c r="AB18" s="94">
        <v>26</v>
      </c>
      <c r="AC18" s="92">
        <v>27</v>
      </c>
      <c r="AD18" s="92">
        <v>28</v>
      </c>
      <c r="AE18" s="92">
        <v>29</v>
      </c>
      <c r="AF18" s="92">
        <v>30</v>
      </c>
      <c r="AG18" s="92">
        <v>31</v>
      </c>
      <c r="AH18" s="92">
        <v>32</v>
      </c>
      <c r="AI18" s="92">
        <v>33</v>
      </c>
      <c r="AJ18" s="92" t="s">
        <v>3</v>
      </c>
    </row>
    <row r="19" spans="1:36" ht="54.6" customHeight="1" thickBot="1" x14ac:dyDescent="0.3">
      <c r="A19" s="85"/>
      <c r="B19" s="95" t="s">
        <v>4</v>
      </c>
      <c r="C19" s="96" t="s">
        <v>5</v>
      </c>
      <c r="D19" s="96" t="s">
        <v>6</v>
      </c>
      <c r="E19" s="97" t="s">
        <v>7</v>
      </c>
      <c r="F19" s="98" t="s">
        <v>8</v>
      </c>
      <c r="G19" s="99" t="s">
        <v>9</v>
      </c>
      <c r="H19" s="99" t="s">
        <v>10</v>
      </c>
      <c r="I19" s="100" t="s">
        <v>11</v>
      </c>
      <c r="J19" s="100" t="s">
        <v>12</v>
      </c>
      <c r="K19" s="100" t="s">
        <v>13</v>
      </c>
      <c r="L19" s="100" t="s">
        <v>14</v>
      </c>
      <c r="M19" s="100" t="s">
        <v>15</v>
      </c>
      <c r="N19" s="100" t="s">
        <v>16</v>
      </c>
      <c r="O19" s="100" t="s">
        <v>17</v>
      </c>
      <c r="P19" s="101" t="s">
        <v>18</v>
      </c>
      <c r="Q19" s="102" t="s">
        <v>19</v>
      </c>
      <c r="R19" s="103" t="s">
        <v>20</v>
      </c>
      <c r="S19" s="102" t="s">
        <v>21</v>
      </c>
      <c r="T19" s="103" t="s">
        <v>22</v>
      </c>
      <c r="U19" s="104" t="s">
        <v>23</v>
      </c>
      <c r="V19" s="104" t="s">
        <v>24</v>
      </c>
      <c r="W19" s="105" t="s">
        <v>25</v>
      </c>
      <c r="X19" s="106" t="s">
        <v>26</v>
      </c>
      <c r="Y19" s="106" t="s">
        <v>27</v>
      </c>
      <c r="Z19" s="107" t="s">
        <v>28</v>
      </c>
      <c r="AA19" s="108" t="s">
        <v>29</v>
      </c>
      <c r="AB19" s="109" t="s">
        <v>30</v>
      </c>
      <c r="AC19" s="110" t="s">
        <v>31</v>
      </c>
      <c r="AD19" s="110" t="s">
        <v>32</v>
      </c>
      <c r="AE19" s="110" t="s">
        <v>33</v>
      </c>
      <c r="AF19" s="110" t="s">
        <v>34</v>
      </c>
      <c r="AG19" s="110" t="s">
        <v>35</v>
      </c>
      <c r="AH19" s="110" t="s">
        <v>36</v>
      </c>
      <c r="AI19" s="110" t="s">
        <v>37</v>
      </c>
      <c r="AJ19" s="110" t="s">
        <v>202</v>
      </c>
    </row>
    <row r="20" spans="1:36" x14ac:dyDescent="0.25">
      <c r="A20" s="1"/>
      <c r="B20" s="2">
        <v>1</v>
      </c>
      <c r="C20" s="3">
        <v>20602891683</v>
      </c>
      <c r="D20" s="3" t="s">
        <v>38</v>
      </c>
      <c r="E20" s="5" t="s">
        <v>42</v>
      </c>
      <c r="F20" s="3"/>
      <c r="G20" s="111" t="s">
        <v>216</v>
      </c>
      <c r="H20" s="111"/>
      <c r="I20" s="32" t="s">
        <v>55</v>
      </c>
      <c r="J20" s="32" t="s">
        <v>213</v>
      </c>
      <c r="K20" s="32">
        <v>100</v>
      </c>
      <c r="L20" s="6"/>
      <c r="M20" s="112">
        <v>6</v>
      </c>
      <c r="N20" s="112">
        <v>20334129595</v>
      </c>
      <c r="O20" s="3" t="s">
        <v>44</v>
      </c>
      <c r="P20" s="36"/>
      <c r="Q20" s="113">
        <v>21.19</v>
      </c>
      <c r="R20" s="7"/>
      <c r="S20" s="113">
        <v>3.81</v>
      </c>
      <c r="T20" s="7"/>
      <c r="U20" s="7"/>
      <c r="V20" s="7"/>
      <c r="W20" s="7"/>
      <c r="X20" s="7"/>
      <c r="Y20" s="7"/>
      <c r="Z20" s="37"/>
      <c r="AA20" s="37"/>
      <c r="AB20" s="113">
        <v>25</v>
      </c>
      <c r="AC20" s="6" t="s">
        <v>41</v>
      </c>
      <c r="AD20" s="114"/>
      <c r="AE20" s="33"/>
      <c r="AF20" s="3"/>
      <c r="AG20" s="3"/>
      <c r="AH20" s="3"/>
      <c r="AI20" s="3"/>
      <c r="AJ20" s="3" t="s">
        <v>214</v>
      </c>
    </row>
    <row r="21" spans="1:36" x14ac:dyDescent="0.25">
      <c r="A21" s="1"/>
      <c r="B21" s="2">
        <v>2</v>
      </c>
      <c r="C21" s="3">
        <v>20602891683</v>
      </c>
      <c r="D21" s="3" t="s">
        <v>38</v>
      </c>
      <c r="E21" s="5" t="s">
        <v>42</v>
      </c>
      <c r="F21" s="3"/>
      <c r="G21" s="40">
        <v>45061</v>
      </c>
      <c r="H21" s="40"/>
      <c r="I21" s="32" t="s">
        <v>55</v>
      </c>
      <c r="J21" s="32" t="s">
        <v>213</v>
      </c>
      <c r="K21" s="32">
        <v>101</v>
      </c>
      <c r="L21" s="6"/>
      <c r="M21" s="112">
        <v>6</v>
      </c>
      <c r="N21" s="112">
        <v>20122746292</v>
      </c>
      <c r="O21" s="3" t="s">
        <v>72</v>
      </c>
      <c r="P21" s="7"/>
      <c r="Q21" s="113">
        <v>21.19</v>
      </c>
      <c r="R21" s="7"/>
      <c r="S21" s="113">
        <v>3.81</v>
      </c>
      <c r="T21" s="7"/>
      <c r="U21" s="7"/>
      <c r="V21" s="7"/>
      <c r="W21" s="7"/>
      <c r="X21" s="7"/>
      <c r="Y21" s="7"/>
      <c r="Z21" s="37"/>
      <c r="AA21" s="37"/>
      <c r="AB21" s="113">
        <v>25</v>
      </c>
      <c r="AC21" s="6" t="s">
        <v>74</v>
      </c>
      <c r="AD21" s="114">
        <v>3.08</v>
      </c>
      <c r="AE21" s="33"/>
      <c r="AF21" s="3"/>
      <c r="AG21" s="3"/>
      <c r="AH21" s="3"/>
      <c r="AI21" s="3"/>
      <c r="AJ21" s="3"/>
    </row>
    <row r="22" spans="1:36" x14ac:dyDescent="0.25">
      <c r="A22" s="1"/>
      <c r="B22" s="2">
        <v>3</v>
      </c>
      <c r="C22" s="3">
        <v>20602891683</v>
      </c>
      <c r="D22" s="3" t="s">
        <v>38</v>
      </c>
      <c r="E22" s="5" t="s">
        <v>42</v>
      </c>
      <c r="F22" s="3"/>
      <c r="G22" s="40">
        <v>45061</v>
      </c>
      <c r="H22" s="40"/>
      <c r="I22" s="32" t="s">
        <v>55</v>
      </c>
      <c r="J22" s="32" t="s">
        <v>213</v>
      </c>
      <c r="K22" s="32">
        <v>102</v>
      </c>
      <c r="L22" s="6"/>
      <c r="M22" s="112">
        <v>6</v>
      </c>
      <c r="N22" s="112">
        <v>20378157138</v>
      </c>
      <c r="O22" s="3" t="s">
        <v>45</v>
      </c>
      <c r="P22" s="7"/>
      <c r="Q22" s="113">
        <v>21.19</v>
      </c>
      <c r="R22" s="7"/>
      <c r="S22" s="113">
        <v>3.81</v>
      </c>
      <c r="T22" s="7"/>
      <c r="U22" s="7"/>
      <c r="V22" s="7"/>
      <c r="W22" s="7"/>
      <c r="X22" s="7"/>
      <c r="Y22" s="7"/>
      <c r="Z22" s="37"/>
      <c r="AA22" s="37"/>
      <c r="AB22" s="113">
        <v>25</v>
      </c>
      <c r="AC22" s="6" t="s">
        <v>41</v>
      </c>
      <c r="AD22" s="114"/>
      <c r="AE22" s="33"/>
      <c r="AF22" s="3"/>
      <c r="AG22" s="3"/>
      <c r="AH22" s="3"/>
      <c r="AI22" s="3"/>
      <c r="AJ22" s="3"/>
    </row>
    <row r="23" spans="1:36" x14ac:dyDescent="0.25">
      <c r="A23" s="1"/>
      <c r="B23" s="2">
        <v>4</v>
      </c>
      <c r="C23" s="3">
        <v>20602891683</v>
      </c>
      <c r="D23" s="3" t="s">
        <v>38</v>
      </c>
      <c r="E23" s="5" t="s">
        <v>42</v>
      </c>
      <c r="F23" s="3"/>
      <c r="G23" s="40">
        <v>45061</v>
      </c>
      <c r="H23" s="40"/>
      <c r="I23" s="32" t="s">
        <v>39</v>
      </c>
      <c r="J23" s="32" t="s">
        <v>213</v>
      </c>
      <c r="K23" s="32">
        <v>384</v>
      </c>
      <c r="L23" s="6"/>
      <c r="M23" s="112">
        <v>1</v>
      </c>
      <c r="N23" s="112">
        <v>76789887</v>
      </c>
      <c r="O23" s="3" t="s">
        <v>73</v>
      </c>
      <c r="P23" s="7"/>
      <c r="Q23" s="113">
        <v>21.19</v>
      </c>
      <c r="R23" s="7"/>
      <c r="S23" s="113">
        <v>3.81</v>
      </c>
      <c r="T23" s="7"/>
      <c r="U23" s="7"/>
      <c r="V23" s="7"/>
      <c r="W23" s="7"/>
      <c r="X23" s="7"/>
      <c r="Y23" s="7"/>
      <c r="Z23" s="37"/>
      <c r="AA23" s="37"/>
      <c r="AB23" s="113">
        <v>25</v>
      </c>
      <c r="AC23" s="6" t="s">
        <v>41</v>
      </c>
      <c r="AD23" s="114"/>
      <c r="AE23" s="33"/>
      <c r="AF23" s="3"/>
      <c r="AG23" s="3"/>
      <c r="AH23" s="3"/>
      <c r="AI23" s="3"/>
      <c r="AJ23" s="3"/>
    </row>
    <row r="24" spans="1:36" x14ac:dyDescent="0.25">
      <c r="A24" s="1"/>
      <c r="B24" s="2">
        <v>5</v>
      </c>
      <c r="C24" s="3">
        <v>20602891683</v>
      </c>
      <c r="D24" s="3" t="s">
        <v>38</v>
      </c>
      <c r="E24" s="5" t="s">
        <v>42</v>
      </c>
      <c r="F24" s="5"/>
      <c r="G24" s="40">
        <v>45061</v>
      </c>
      <c r="H24" s="40"/>
      <c r="I24" s="32" t="s">
        <v>39</v>
      </c>
      <c r="J24" s="32" t="s">
        <v>213</v>
      </c>
      <c r="K24" s="32">
        <v>385</v>
      </c>
      <c r="L24" s="32" t="s">
        <v>215</v>
      </c>
      <c r="M24" s="112"/>
      <c r="N24" s="112"/>
      <c r="O24" s="3"/>
      <c r="P24" s="7"/>
      <c r="Q24" s="113">
        <v>21.19</v>
      </c>
      <c r="R24" s="7"/>
      <c r="S24" s="113">
        <v>3.81</v>
      </c>
      <c r="T24" s="7"/>
      <c r="U24" s="7"/>
      <c r="V24" s="7"/>
      <c r="W24" s="7"/>
      <c r="X24" s="7"/>
      <c r="Y24" s="7"/>
      <c r="Z24" s="37"/>
      <c r="AA24" s="37"/>
      <c r="AB24" s="113">
        <v>25</v>
      </c>
      <c r="AC24" s="6" t="s">
        <v>41</v>
      </c>
      <c r="AD24" s="114"/>
      <c r="AE24" s="33"/>
      <c r="AF24" s="2"/>
      <c r="AG24" s="1"/>
      <c r="AH24" s="2"/>
      <c r="AI24" s="3"/>
      <c r="AJ24" s="2"/>
    </row>
    <row r="25" spans="1:36" x14ac:dyDescent="0.25">
      <c r="A25" s="1"/>
      <c r="B25" s="2">
        <v>6</v>
      </c>
      <c r="C25" s="3">
        <v>20602891683</v>
      </c>
      <c r="D25" s="3" t="s">
        <v>38</v>
      </c>
      <c r="E25" s="5" t="s">
        <v>42</v>
      </c>
      <c r="F25" s="3"/>
      <c r="G25" s="40">
        <v>45061</v>
      </c>
      <c r="H25" s="40"/>
      <c r="I25" s="32" t="s">
        <v>70</v>
      </c>
      <c r="J25" s="32" t="s">
        <v>213</v>
      </c>
      <c r="K25" s="32">
        <v>2</v>
      </c>
      <c r="L25" s="32"/>
      <c r="M25" s="112">
        <v>6</v>
      </c>
      <c r="N25" s="112">
        <v>20334129595</v>
      </c>
      <c r="O25" s="3" t="s">
        <v>44</v>
      </c>
      <c r="P25" s="7"/>
      <c r="Q25" s="113">
        <v>-21.19</v>
      </c>
      <c r="R25" s="7"/>
      <c r="S25" s="113">
        <v>-3.81</v>
      </c>
      <c r="T25" s="7"/>
      <c r="U25" s="7"/>
      <c r="V25" s="7"/>
      <c r="W25" s="7"/>
      <c r="X25" s="7"/>
      <c r="Y25" s="7"/>
      <c r="Z25" s="37"/>
      <c r="AA25" s="37"/>
      <c r="AB25" s="113">
        <v>-25</v>
      </c>
      <c r="AC25" s="6" t="s">
        <v>41</v>
      </c>
      <c r="AD25" s="114"/>
      <c r="AE25" s="111" t="s">
        <v>216</v>
      </c>
      <c r="AF25" s="32" t="s">
        <v>55</v>
      </c>
      <c r="AG25" s="116" t="s">
        <v>213</v>
      </c>
      <c r="AH25" s="41">
        <v>100</v>
      </c>
      <c r="AI25" s="3"/>
      <c r="AJ25" s="3" t="s">
        <v>214</v>
      </c>
    </row>
    <row r="26" spans="1:36" ht="15.75" x14ac:dyDescent="0.25">
      <c r="A26" s="1"/>
      <c r="B26" s="2">
        <v>7</v>
      </c>
      <c r="C26" s="3">
        <v>20602891683</v>
      </c>
      <c r="D26" s="3" t="s">
        <v>38</v>
      </c>
      <c r="E26" s="5" t="s">
        <v>42</v>
      </c>
      <c r="F26" s="3"/>
      <c r="G26" s="40">
        <v>45061</v>
      </c>
      <c r="H26" s="40"/>
      <c r="I26" s="32" t="s">
        <v>71</v>
      </c>
      <c r="J26" s="32" t="s">
        <v>213</v>
      </c>
      <c r="K26" s="32">
        <v>3</v>
      </c>
      <c r="L26" s="32"/>
      <c r="M26" s="112">
        <v>6</v>
      </c>
      <c r="N26" s="112">
        <v>20378157138</v>
      </c>
      <c r="O26" s="3" t="s">
        <v>45</v>
      </c>
      <c r="P26" s="38"/>
      <c r="Q26" s="113">
        <v>21.19</v>
      </c>
      <c r="R26" s="7"/>
      <c r="S26" s="113">
        <v>3.81</v>
      </c>
      <c r="T26" s="7"/>
      <c r="U26" s="7"/>
      <c r="V26" s="7"/>
      <c r="W26" s="7"/>
      <c r="X26" s="7"/>
      <c r="Y26" s="7"/>
      <c r="Z26" s="37"/>
      <c r="AA26" s="37"/>
      <c r="AB26" s="113">
        <v>25</v>
      </c>
      <c r="AC26" s="6" t="s">
        <v>41</v>
      </c>
      <c r="AD26" s="114"/>
      <c r="AE26" s="115">
        <v>44936</v>
      </c>
      <c r="AF26" s="32" t="s">
        <v>55</v>
      </c>
      <c r="AG26" s="116" t="s">
        <v>213</v>
      </c>
      <c r="AH26" s="41">
        <v>65</v>
      </c>
      <c r="AI26" s="3"/>
      <c r="AJ26" s="117"/>
    </row>
    <row r="27" spans="1:36" x14ac:dyDescent="0.25"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</row>
    <row r="28" spans="1:36" x14ac:dyDescent="0.25"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</row>
    <row r="29" spans="1:36" x14ac:dyDescent="0.25"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</row>
    <row r="30" spans="1:36" x14ac:dyDescent="0.25"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</row>
    <row r="31" spans="1:36" x14ac:dyDescent="0.25"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</row>
    <row r="32" spans="1:36" x14ac:dyDescent="0.25"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</row>
  </sheetData>
  <sheetProtection algorithmName="SHA-512" hashValue="VDFSwqGgftKrhgI3UwAilQFRdl1nCJXZawkdA7ajM7Ehqh3+8Jxj18j5hKLUxpKjS3uYH8av7tVqQ5dcLOEeWA==" saltValue="KYRHvzacBUJeTQDPfjDJ7g==" spinCount="100000" sheet="1" objects="1" scenarios="1" formatCells="0" formatColumns="0" formatRows="0" insertColumns="0" insertRows="0" deleteColumns="0" deleteRows="0" sort="0" autoFilter="0" pivotTables="0"/>
  <mergeCells count="1">
    <mergeCell ref="E3:G3"/>
  </mergeCells>
  <phoneticPr fontId="26" type="noConversion"/>
  <hyperlinks>
    <hyperlink ref="L11" r:id="rId1" xr:uid="{98EF228F-12F7-4C20-91A0-CA6964F6A14B}"/>
    <hyperlink ref="L13" r:id="rId2" xr:uid="{C8E271FF-3263-40A1-AF5A-7ADA9FD18A23}"/>
    <hyperlink ref="L12" r:id="rId3" xr:uid="{932CFA8E-8586-44EF-98F2-1E213F546D83}"/>
  </hyperlinks>
  <pageMargins left="0.7" right="0.7" top="0.75" bottom="0.75" header="0.3" footer="0.3"/>
  <pageSetup orientation="portrait" r:id="rId4"/>
  <drawing r:id="rId5"/>
  <legacy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3035E8-F076-44B3-987D-3BF7ADFAD4F0}">
          <x14:formula1>
            <xm:f>Hoja1!$D$2:$D$13</xm:f>
          </x14:formula1>
          <xm:sqref>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6A2E3-4713-41B8-8228-22F4AEAC2352}">
  <sheetPr codeName="Hoja3">
    <tabColor rgb="FFA3FFFF"/>
  </sheetPr>
  <dimension ref="A1:AK32"/>
  <sheetViews>
    <sheetView topLeftCell="A7" zoomScale="70" zoomScaleNormal="70" workbookViewId="0">
      <selection activeCell="H31" sqref="H31"/>
    </sheetView>
  </sheetViews>
  <sheetFormatPr baseColWidth="10" defaultColWidth="11.5703125" defaultRowHeight="15" x14ac:dyDescent="0.25"/>
  <cols>
    <col min="1" max="1" width="2.42578125" style="41" customWidth="1"/>
    <col min="2" max="2" width="6.28515625" style="41" customWidth="1"/>
    <col min="3" max="3" width="20" style="41" customWidth="1"/>
    <col min="4" max="4" width="23.28515625" style="41" customWidth="1"/>
    <col min="5" max="5" width="13.140625" style="41" customWidth="1"/>
    <col min="6" max="6" width="16.85546875" style="41" customWidth="1"/>
    <col min="7" max="7" width="16.5703125" style="41" bestFit="1" customWidth="1"/>
    <col min="8" max="8" width="16.28515625" style="41" bestFit="1" customWidth="1"/>
    <col min="9" max="9" width="13.85546875" style="41" customWidth="1"/>
    <col min="10" max="10" width="12.85546875" style="41" bestFit="1" customWidth="1"/>
    <col min="11" max="11" width="15.140625" style="41" customWidth="1"/>
    <col min="12" max="12" width="14.85546875" style="41" customWidth="1"/>
    <col min="13" max="13" width="17.7109375" style="41" customWidth="1"/>
    <col min="14" max="14" width="17.140625" style="41" bestFit="1" customWidth="1"/>
    <col min="15" max="15" width="30.5703125" style="41" bestFit="1" customWidth="1"/>
    <col min="16" max="16" width="20.85546875" style="41" customWidth="1"/>
    <col min="17" max="19" width="13.5703125" style="41" bestFit="1" customWidth="1"/>
    <col min="20" max="20" width="15.28515625" style="41" bestFit="1" customWidth="1"/>
    <col min="21" max="21" width="15" style="41" bestFit="1" customWidth="1"/>
    <col min="22" max="22" width="13.5703125" style="41" bestFit="1" customWidth="1"/>
    <col min="23" max="23" width="9" style="41" customWidth="1"/>
    <col min="24" max="24" width="13.5703125" style="41" bestFit="1" customWidth="1"/>
    <col min="25" max="25" width="10" style="41" customWidth="1"/>
    <col min="26" max="26" width="11.7109375" style="41" customWidth="1"/>
    <col min="27" max="27" width="14.140625" style="41" bestFit="1" customWidth="1"/>
    <col min="28" max="28" width="13.5703125" style="41" bestFit="1" customWidth="1"/>
    <col min="29" max="29" width="8.42578125" style="41" bestFit="1" customWidth="1"/>
    <col min="30" max="30" width="12" style="41" bestFit="1" customWidth="1"/>
    <col min="31" max="31" width="13" style="41" customWidth="1"/>
    <col min="32" max="32" width="10" style="41" customWidth="1"/>
    <col min="33" max="33" width="9.7109375" style="41" customWidth="1"/>
    <col min="34" max="34" width="11.28515625" style="41" customWidth="1"/>
    <col min="35" max="35" width="12.28515625" style="41" customWidth="1"/>
    <col min="36" max="36" width="24.28515625" style="41" customWidth="1"/>
    <col min="37" max="16384" width="11.5703125" style="41"/>
  </cols>
  <sheetData>
    <row r="1" spans="1:36" ht="14.45" customHeight="1" x14ac:dyDescent="0.25">
      <c r="B1" s="41" t="s">
        <v>179</v>
      </c>
      <c r="D1" s="118" t="s">
        <v>172</v>
      </c>
      <c r="E1" s="44"/>
    </row>
    <row r="2" spans="1:36" ht="14.45" customHeight="1" x14ac:dyDescent="0.25">
      <c r="B2" s="41" t="s">
        <v>178</v>
      </c>
      <c r="D2" s="118" t="s">
        <v>177</v>
      </c>
      <c r="E2" s="42"/>
    </row>
    <row r="3" spans="1:36" x14ac:dyDescent="0.25">
      <c r="B3" s="41" t="s">
        <v>99</v>
      </c>
      <c r="D3" s="119" t="s">
        <v>98</v>
      </c>
    </row>
    <row r="4" spans="1:36" x14ac:dyDescent="0.25">
      <c r="B4" s="41" t="s">
        <v>5</v>
      </c>
      <c r="D4" s="48">
        <v>20602891683</v>
      </c>
      <c r="E4" s="234" t="s">
        <v>38</v>
      </c>
      <c r="F4" s="234"/>
      <c r="G4" s="234"/>
    </row>
    <row r="5" spans="1:36" x14ac:dyDescent="0.25">
      <c r="B5" s="41" t="s">
        <v>170</v>
      </c>
      <c r="D5" s="120">
        <v>2023</v>
      </c>
    </row>
    <row r="6" spans="1:36" x14ac:dyDescent="0.25">
      <c r="B6" s="41" t="s">
        <v>169</v>
      </c>
      <c r="D6" s="121" t="s">
        <v>171</v>
      </c>
    </row>
    <row r="7" spans="1:36" x14ac:dyDescent="0.25">
      <c r="B7" s="41" t="s">
        <v>173</v>
      </c>
      <c r="D7" s="122" t="s">
        <v>174</v>
      </c>
    </row>
    <row r="8" spans="1:36" x14ac:dyDescent="0.25">
      <c r="B8" s="41" t="s">
        <v>168</v>
      </c>
      <c r="D8" s="119">
        <v>140400</v>
      </c>
    </row>
    <row r="9" spans="1:36" x14ac:dyDescent="0.25">
      <c r="B9" s="41" t="s">
        <v>175</v>
      </c>
      <c r="D9" s="123" t="s">
        <v>197</v>
      </c>
      <c r="E9" s="41" t="s">
        <v>119</v>
      </c>
    </row>
    <row r="10" spans="1:36" ht="14.45" customHeight="1" x14ac:dyDescent="0.25">
      <c r="B10" s="124" t="s">
        <v>125</v>
      </c>
      <c r="C10" s="124"/>
      <c r="D10" s="120">
        <v>1</v>
      </c>
      <c r="E10" s="124" t="s">
        <v>232</v>
      </c>
    </row>
    <row r="11" spans="1:36" ht="14.45" customHeight="1" x14ac:dyDescent="0.25">
      <c r="B11" s="124" t="s">
        <v>131</v>
      </c>
      <c r="C11" s="124"/>
      <c r="D11" s="120">
        <v>1</v>
      </c>
      <c r="E11" s="124" t="s">
        <v>233</v>
      </c>
    </row>
    <row r="12" spans="1:36" ht="14.45" customHeight="1" x14ac:dyDescent="0.25">
      <c r="B12" s="124" t="s">
        <v>136</v>
      </c>
      <c r="C12" s="124"/>
      <c r="D12" s="120">
        <v>1</v>
      </c>
      <c r="E12" s="125" t="s">
        <v>234</v>
      </c>
    </row>
    <row r="13" spans="1:36" ht="14.45" customHeight="1" x14ac:dyDescent="0.25">
      <c r="B13" s="41" t="s">
        <v>167</v>
      </c>
      <c r="D13" s="126">
        <v>2</v>
      </c>
      <c r="E13" s="127" t="s">
        <v>141</v>
      </c>
    </row>
    <row r="14" spans="1:36" ht="14.45" customHeight="1" x14ac:dyDescent="0.25">
      <c r="D14" s="126"/>
      <c r="E14" s="127"/>
    </row>
    <row r="15" spans="1:36" ht="26.45" customHeight="1" x14ac:dyDescent="0.45">
      <c r="A15" s="52"/>
      <c r="B15" s="53"/>
      <c r="C15" s="54"/>
      <c r="D15" s="54"/>
      <c r="E15" s="55" t="s">
        <v>0</v>
      </c>
      <c r="F15" s="53"/>
      <c r="G15" s="180"/>
      <c r="H15" s="180"/>
      <c r="I15" s="180"/>
      <c r="J15" s="171"/>
      <c r="K15" s="173" t="s">
        <v>229</v>
      </c>
      <c r="L15" s="174" t="s">
        <v>230</v>
      </c>
      <c r="M15" s="169"/>
      <c r="N15" s="169"/>
      <c r="O15" s="180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7"/>
      <c r="AA15" s="56"/>
      <c r="AB15" s="56"/>
      <c r="AC15" s="58"/>
      <c r="AD15" s="56"/>
      <c r="AE15" s="56"/>
      <c r="AF15" s="56"/>
      <c r="AG15" s="56"/>
      <c r="AH15" s="56"/>
      <c r="AI15" s="56"/>
      <c r="AJ15" s="56"/>
    </row>
    <row r="16" spans="1:36" ht="26.45" customHeight="1" thickBot="1" x14ac:dyDescent="0.4">
      <c r="A16" s="59"/>
      <c r="B16" s="59"/>
      <c r="C16" s="60"/>
      <c r="D16" s="61"/>
      <c r="E16" s="62"/>
      <c r="F16" s="59"/>
      <c r="G16" s="181"/>
      <c r="H16" s="181"/>
      <c r="I16" s="181"/>
      <c r="J16" s="171"/>
      <c r="K16" s="173" t="s">
        <v>229</v>
      </c>
      <c r="L16" s="178" t="s">
        <v>228</v>
      </c>
      <c r="M16" s="171"/>
      <c r="N16" s="171"/>
      <c r="O16" s="181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4"/>
      <c r="AA16" s="63"/>
      <c r="AB16" s="63"/>
      <c r="AC16" s="58"/>
      <c r="AD16" s="63"/>
      <c r="AE16" s="63"/>
      <c r="AF16" s="63"/>
      <c r="AG16" s="63"/>
      <c r="AH16" s="63"/>
      <c r="AI16" s="63"/>
      <c r="AJ16" s="63"/>
    </row>
    <row r="17" spans="1:37" ht="52.9" customHeight="1" x14ac:dyDescent="0.25">
      <c r="A17" s="59"/>
      <c r="B17" s="59"/>
      <c r="C17" s="60"/>
      <c r="D17" s="61"/>
      <c r="E17" s="65"/>
      <c r="F17" s="128"/>
      <c r="G17" s="181"/>
      <c r="H17" s="182"/>
      <c r="I17" s="181"/>
      <c r="J17" s="171"/>
      <c r="K17" s="177" t="s">
        <v>224</v>
      </c>
      <c r="L17" s="178" t="s">
        <v>225</v>
      </c>
      <c r="M17" s="171"/>
      <c r="N17" s="171"/>
      <c r="O17" s="181"/>
      <c r="P17" s="67" t="str">
        <f t="shared" ref="P17:AB17" si="0">+P25</f>
        <v>EXPORTACION</v>
      </c>
      <c r="Q17" s="68" t="str">
        <f t="shared" si="0"/>
        <v>BASE IMPONIBLE GRAVADA</v>
      </c>
      <c r="R17" s="69" t="str">
        <f t="shared" si="0"/>
        <v>DESCUENTO BASE IMPONIBLE GRAVADA</v>
      </c>
      <c r="S17" s="68" t="str">
        <f t="shared" si="0"/>
        <v>IGV 18% Y 10%</v>
      </c>
      <c r="T17" s="69" t="str">
        <f t="shared" si="0"/>
        <v>DESCUENTO IGV  18% Y 10%</v>
      </c>
      <c r="U17" s="70" t="str">
        <f t="shared" si="0"/>
        <v>EXONERADO</v>
      </c>
      <c r="V17" s="70" t="str">
        <f t="shared" si="0"/>
        <v>INAFECTO</v>
      </c>
      <c r="W17" s="71" t="str">
        <f t="shared" si="0"/>
        <v>I.S.C</v>
      </c>
      <c r="X17" s="72" t="str">
        <f t="shared" si="0"/>
        <v>BASE IMPONIBLE IVAP - ARROZ PILADO</v>
      </c>
      <c r="Y17" s="72" t="str">
        <f t="shared" si="0"/>
        <v>IVAP - ARROZ PILADO</v>
      </c>
      <c r="Z17" s="73" t="str">
        <f t="shared" si="0"/>
        <v>ICBPER-BOLSAS</v>
      </c>
      <c r="AA17" s="74" t="str">
        <f t="shared" si="0"/>
        <v>OTROS CONCEPTOS / TRIBUTOS</v>
      </c>
      <c r="AB17" s="75" t="str">
        <f t="shared" si="0"/>
        <v>IMPORTE TOTAL</v>
      </c>
      <c r="AC17" s="58"/>
      <c r="AD17" s="63"/>
      <c r="AE17" s="63"/>
      <c r="AF17" s="63"/>
      <c r="AG17" s="63"/>
      <c r="AH17" s="63"/>
      <c r="AI17" s="63"/>
      <c r="AJ17" s="63"/>
    </row>
    <row r="18" spans="1:37" ht="26.45" customHeight="1" x14ac:dyDescent="0.25">
      <c r="A18" s="59"/>
      <c r="B18" s="59"/>
      <c r="C18" s="60"/>
      <c r="D18" s="61"/>
      <c r="E18" s="65"/>
      <c r="F18" s="128"/>
      <c r="G18" s="181"/>
      <c r="H18" s="182"/>
      <c r="I18" s="181"/>
      <c r="J18" s="169"/>
      <c r="K18" s="177" t="s">
        <v>226</v>
      </c>
      <c r="L18" s="178" t="s">
        <v>227</v>
      </c>
      <c r="M18" s="171"/>
      <c r="N18" s="171"/>
      <c r="O18" s="181"/>
      <c r="P18" s="165">
        <f t="shared" ref="P18:AB18" si="1">+SUM(P26:P1048576)</f>
        <v>0</v>
      </c>
      <c r="Q18" s="165">
        <f t="shared" si="1"/>
        <v>105.95</v>
      </c>
      <c r="R18" s="165">
        <f t="shared" si="1"/>
        <v>0</v>
      </c>
      <c r="S18" s="165">
        <f t="shared" si="1"/>
        <v>19.05</v>
      </c>
      <c r="T18" s="165">
        <f t="shared" si="1"/>
        <v>0</v>
      </c>
      <c r="U18" s="165">
        <f t="shared" si="1"/>
        <v>0</v>
      </c>
      <c r="V18" s="165">
        <f t="shared" si="1"/>
        <v>0</v>
      </c>
      <c r="W18" s="165">
        <f t="shared" si="1"/>
        <v>0</v>
      </c>
      <c r="X18" s="165">
        <f t="shared" si="1"/>
        <v>0</v>
      </c>
      <c r="Y18" s="165">
        <f t="shared" si="1"/>
        <v>0</v>
      </c>
      <c r="Z18" s="165">
        <f t="shared" si="1"/>
        <v>0</v>
      </c>
      <c r="AA18" s="165">
        <f t="shared" si="1"/>
        <v>0</v>
      </c>
      <c r="AB18" s="165">
        <f t="shared" si="1"/>
        <v>125</v>
      </c>
      <c r="AC18" s="58"/>
      <c r="AD18" s="63"/>
      <c r="AE18" s="63"/>
      <c r="AF18" s="63"/>
      <c r="AG18" s="63"/>
      <c r="AH18" s="63"/>
      <c r="AI18" s="63"/>
      <c r="AJ18" s="63"/>
    </row>
    <row r="19" spans="1:37" ht="26.25" x14ac:dyDescent="0.25">
      <c r="A19" s="53"/>
      <c r="B19" s="53"/>
      <c r="C19" s="60"/>
      <c r="D19" s="54"/>
      <c r="E19" s="55"/>
      <c r="F19" s="53"/>
      <c r="G19" s="180"/>
      <c r="H19" s="183"/>
      <c r="I19" s="180"/>
      <c r="J19" s="169"/>
      <c r="K19" s="177"/>
      <c r="L19" s="184"/>
      <c r="M19" s="169"/>
      <c r="N19" s="169"/>
      <c r="O19" s="180"/>
      <c r="P19" s="166"/>
      <c r="Q19" s="166"/>
      <c r="R19" s="166"/>
      <c r="S19" s="166"/>
      <c r="T19" s="166"/>
      <c r="U19" s="166"/>
      <c r="V19" s="166"/>
      <c r="W19" s="166"/>
      <c r="X19" s="166"/>
      <c r="Y19" s="166"/>
      <c r="Z19" s="167" t="s">
        <v>1</v>
      </c>
      <c r="AA19" s="165">
        <f>+SUM(P18:AA18)</f>
        <v>125</v>
      </c>
      <c r="AB19" s="165">
        <f>+AB18</f>
        <v>125</v>
      </c>
      <c r="AC19" s="58"/>
      <c r="AD19" s="56"/>
      <c r="AE19" s="56"/>
      <c r="AF19" s="56"/>
      <c r="AG19" s="56"/>
      <c r="AH19" s="56"/>
      <c r="AI19" s="56"/>
      <c r="AJ19" s="56"/>
    </row>
    <row r="20" spans="1:37" ht="41.45" customHeight="1" x14ac:dyDescent="0.35">
      <c r="A20" s="53"/>
      <c r="B20" s="76"/>
      <c r="C20" s="54"/>
      <c r="D20" s="54"/>
      <c r="E20" s="55"/>
      <c r="F20" s="53"/>
      <c r="G20" s="185"/>
      <c r="H20" s="185"/>
      <c r="I20" s="180"/>
      <c r="J20" s="180"/>
      <c r="K20" s="180"/>
      <c r="L20" s="180"/>
      <c r="M20" s="180"/>
      <c r="N20" s="180"/>
      <c r="O20" s="180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7" t="s">
        <v>43</v>
      </c>
      <c r="AA20" s="165">
        <f>+AA19-AB19</f>
        <v>0</v>
      </c>
      <c r="AB20" s="168"/>
      <c r="AC20" s="58"/>
      <c r="AD20" s="130"/>
      <c r="AE20" s="56"/>
      <c r="AF20" s="56"/>
      <c r="AG20" s="56"/>
      <c r="AH20" s="56"/>
      <c r="AI20" s="56"/>
      <c r="AJ20" s="56"/>
    </row>
    <row r="21" spans="1:37" ht="23.25" x14ac:dyDescent="0.35">
      <c r="A21" s="56"/>
      <c r="B21" s="77" t="s">
        <v>223</v>
      </c>
      <c r="C21" s="78"/>
      <c r="D21" s="79"/>
      <c r="E21" s="80"/>
      <c r="F21" s="131"/>
      <c r="G21" s="130"/>
      <c r="H21" s="132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84"/>
      <c r="AA21" s="56"/>
      <c r="AB21" s="56"/>
      <c r="AC21" s="83"/>
      <c r="AD21" s="130"/>
      <c r="AE21" s="56"/>
      <c r="AF21" s="56"/>
      <c r="AG21" s="56"/>
      <c r="AH21" s="56"/>
      <c r="AI21" s="56"/>
      <c r="AJ21" s="56"/>
    </row>
    <row r="22" spans="1:37" ht="23.25" x14ac:dyDescent="0.35">
      <c r="A22" s="85"/>
      <c r="B22" s="77" t="s">
        <v>218</v>
      </c>
      <c r="C22" s="86"/>
      <c r="D22" s="87"/>
      <c r="E22" s="87"/>
      <c r="F22" s="133"/>
      <c r="G22" s="134"/>
      <c r="H22" s="132"/>
      <c r="I22" s="90"/>
      <c r="J22" s="90"/>
      <c r="K22" s="90"/>
      <c r="L22" s="90"/>
      <c r="M22" s="90"/>
      <c r="N22" s="90"/>
      <c r="O22" s="90"/>
      <c r="P22" s="90"/>
      <c r="Q22" s="56"/>
      <c r="R22" s="90"/>
      <c r="S22" s="90"/>
      <c r="T22" s="90"/>
      <c r="U22" s="90"/>
      <c r="V22" s="90"/>
      <c r="W22" s="90"/>
      <c r="X22" s="90"/>
      <c r="Y22" s="90"/>
      <c r="Z22" s="91"/>
      <c r="AA22" s="90"/>
      <c r="AB22" s="90"/>
      <c r="AC22" s="90"/>
      <c r="AD22" s="135"/>
      <c r="AE22" s="90"/>
      <c r="AF22" s="90"/>
      <c r="AG22" s="90"/>
      <c r="AH22" s="90"/>
      <c r="AI22" s="90"/>
      <c r="AJ22" s="90"/>
    </row>
    <row r="23" spans="1:37" ht="43.9" customHeight="1" thickBot="1" x14ac:dyDescent="0.3">
      <c r="A23" s="85"/>
      <c r="B23" s="89"/>
      <c r="C23" s="89"/>
      <c r="D23" s="89"/>
      <c r="E23" s="89"/>
      <c r="F23" s="136"/>
      <c r="G23" s="134"/>
      <c r="H23" s="135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1"/>
      <c r="AA23" s="90"/>
      <c r="AB23" s="90"/>
      <c r="AC23" s="90"/>
      <c r="AD23" s="135"/>
      <c r="AE23" s="90"/>
      <c r="AF23" s="90"/>
      <c r="AG23" s="90"/>
      <c r="AH23" s="90"/>
      <c r="AI23" s="90"/>
      <c r="AJ23" s="90"/>
    </row>
    <row r="24" spans="1:37" ht="15.75" thickBot="1" x14ac:dyDescent="0.3">
      <c r="A24" s="85"/>
      <c r="B24" s="92" t="s">
        <v>2</v>
      </c>
      <c r="C24" s="93">
        <v>1</v>
      </c>
      <c r="D24" s="93">
        <v>2</v>
      </c>
      <c r="E24" s="93">
        <v>3</v>
      </c>
      <c r="F24" s="92">
        <v>4</v>
      </c>
      <c r="G24" s="92">
        <v>5</v>
      </c>
      <c r="H24" s="92">
        <v>6</v>
      </c>
      <c r="I24" s="92">
        <v>7</v>
      </c>
      <c r="J24" s="92">
        <v>8</v>
      </c>
      <c r="K24" s="92">
        <v>9</v>
      </c>
      <c r="L24" s="92">
        <v>10</v>
      </c>
      <c r="M24" s="92">
        <v>11</v>
      </c>
      <c r="N24" s="92">
        <v>12</v>
      </c>
      <c r="O24" s="92">
        <v>13</v>
      </c>
      <c r="P24" s="92">
        <v>14</v>
      </c>
      <c r="Q24" s="92">
        <v>15</v>
      </c>
      <c r="R24" s="92">
        <v>16</v>
      </c>
      <c r="S24" s="92">
        <v>17</v>
      </c>
      <c r="T24" s="92">
        <v>18</v>
      </c>
      <c r="U24" s="92">
        <v>19</v>
      </c>
      <c r="V24" s="92">
        <v>20</v>
      </c>
      <c r="W24" s="92">
        <v>21</v>
      </c>
      <c r="X24" s="94">
        <v>22</v>
      </c>
      <c r="Y24" s="94">
        <v>23</v>
      </c>
      <c r="Z24" s="92">
        <v>24</v>
      </c>
      <c r="AA24" s="92">
        <v>25</v>
      </c>
      <c r="AB24" s="94">
        <v>26</v>
      </c>
      <c r="AC24" s="92">
        <v>27</v>
      </c>
      <c r="AD24" s="92">
        <v>28</v>
      </c>
      <c r="AE24" s="92">
        <v>29</v>
      </c>
      <c r="AF24" s="92">
        <v>30</v>
      </c>
      <c r="AG24" s="92">
        <v>31</v>
      </c>
      <c r="AH24" s="92">
        <v>32</v>
      </c>
      <c r="AI24" s="92">
        <v>33</v>
      </c>
      <c r="AJ24" s="92" t="s">
        <v>3</v>
      </c>
    </row>
    <row r="25" spans="1:37" ht="54.6" customHeight="1" thickBot="1" x14ac:dyDescent="0.3">
      <c r="A25" s="85"/>
      <c r="B25" s="95" t="s">
        <v>4</v>
      </c>
      <c r="C25" s="96" t="s">
        <v>5</v>
      </c>
      <c r="D25" s="96" t="s">
        <v>6</v>
      </c>
      <c r="E25" s="97" t="s">
        <v>7</v>
      </c>
      <c r="F25" s="137" t="s">
        <v>8</v>
      </c>
      <c r="G25" s="138" t="s">
        <v>9</v>
      </c>
      <c r="H25" s="138" t="s">
        <v>10</v>
      </c>
      <c r="I25" s="100" t="s">
        <v>11</v>
      </c>
      <c r="J25" s="100" t="s">
        <v>12</v>
      </c>
      <c r="K25" s="100" t="s">
        <v>13</v>
      </c>
      <c r="L25" s="100" t="s">
        <v>14</v>
      </c>
      <c r="M25" s="100" t="s">
        <v>15</v>
      </c>
      <c r="N25" s="100" t="s">
        <v>16</v>
      </c>
      <c r="O25" s="100" t="s">
        <v>17</v>
      </c>
      <c r="P25" s="101" t="s">
        <v>18</v>
      </c>
      <c r="Q25" s="102" t="s">
        <v>19</v>
      </c>
      <c r="R25" s="103" t="s">
        <v>20</v>
      </c>
      <c r="S25" s="102" t="s">
        <v>21</v>
      </c>
      <c r="T25" s="103" t="s">
        <v>22</v>
      </c>
      <c r="U25" s="104" t="s">
        <v>23</v>
      </c>
      <c r="V25" s="104" t="s">
        <v>24</v>
      </c>
      <c r="W25" s="105" t="s">
        <v>25</v>
      </c>
      <c r="X25" s="106" t="s">
        <v>26</v>
      </c>
      <c r="Y25" s="106" t="s">
        <v>27</v>
      </c>
      <c r="Z25" s="107" t="s">
        <v>28</v>
      </c>
      <c r="AA25" s="108" t="s">
        <v>29</v>
      </c>
      <c r="AB25" s="109" t="s">
        <v>30</v>
      </c>
      <c r="AC25" s="110" t="s">
        <v>31</v>
      </c>
      <c r="AD25" s="139" t="s">
        <v>32</v>
      </c>
      <c r="AE25" s="110" t="s">
        <v>33</v>
      </c>
      <c r="AF25" s="110" t="s">
        <v>34</v>
      </c>
      <c r="AG25" s="110" t="s">
        <v>35</v>
      </c>
      <c r="AH25" s="110" t="s">
        <v>36</v>
      </c>
      <c r="AI25" s="110" t="s">
        <v>37</v>
      </c>
      <c r="AJ25" s="110" t="s">
        <v>202</v>
      </c>
    </row>
    <row r="26" spans="1:37" x14ac:dyDescent="0.25">
      <c r="A26" s="1"/>
      <c r="B26" s="2">
        <v>1</v>
      </c>
      <c r="C26" s="3">
        <v>20602891683</v>
      </c>
      <c r="D26" s="3" t="s">
        <v>38</v>
      </c>
      <c r="E26" s="5" t="s">
        <v>42</v>
      </c>
      <c r="F26" s="3"/>
      <c r="G26" s="140" t="s">
        <v>216</v>
      </c>
      <c r="H26" s="140"/>
      <c r="I26" s="32" t="s">
        <v>55</v>
      </c>
      <c r="J26" s="32" t="s">
        <v>56</v>
      </c>
      <c r="K26" s="32">
        <v>100</v>
      </c>
      <c r="L26" s="6"/>
      <c r="M26" s="112">
        <v>6</v>
      </c>
      <c r="N26" s="112">
        <v>20334129595</v>
      </c>
      <c r="O26" s="3" t="s">
        <v>44</v>
      </c>
      <c r="P26" s="36"/>
      <c r="Q26" s="113">
        <v>21.19</v>
      </c>
      <c r="R26" s="7"/>
      <c r="S26" s="113">
        <v>3.81</v>
      </c>
      <c r="T26" s="7"/>
      <c r="U26" s="7"/>
      <c r="V26" s="7"/>
      <c r="W26" s="7"/>
      <c r="X26" s="7"/>
      <c r="Y26" s="7"/>
      <c r="Z26" s="37"/>
      <c r="AA26" s="37"/>
      <c r="AB26" s="113">
        <v>25</v>
      </c>
      <c r="AC26" s="6" t="s">
        <v>41</v>
      </c>
      <c r="AD26" s="114"/>
      <c r="AE26" s="33"/>
      <c r="AF26" s="3"/>
      <c r="AG26" s="3"/>
      <c r="AH26" s="3"/>
      <c r="AI26" s="3"/>
      <c r="AJ26" s="3" t="s">
        <v>214</v>
      </c>
      <c r="AK26" s="3"/>
    </row>
    <row r="27" spans="1:37" x14ac:dyDescent="0.25">
      <c r="A27" s="1"/>
      <c r="B27" s="2">
        <v>2</v>
      </c>
      <c r="C27" s="3">
        <v>20602891683</v>
      </c>
      <c r="D27" s="3" t="s">
        <v>38</v>
      </c>
      <c r="E27" s="5" t="s">
        <v>42</v>
      </c>
      <c r="F27" s="3"/>
      <c r="G27" s="40">
        <v>45061</v>
      </c>
      <c r="H27" s="40"/>
      <c r="I27" s="32" t="s">
        <v>55</v>
      </c>
      <c r="J27" s="32" t="s">
        <v>56</v>
      </c>
      <c r="K27" s="32">
        <v>101</v>
      </c>
      <c r="L27" s="6"/>
      <c r="M27" s="112">
        <v>6</v>
      </c>
      <c r="N27" s="112">
        <v>20122746292</v>
      </c>
      <c r="O27" s="3" t="s">
        <v>72</v>
      </c>
      <c r="P27" s="7"/>
      <c r="Q27" s="113">
        <v>21.19</v>
      </c>
      <c r="R27" s="7"/>
      <c r="S27" s="113">
        <v>3.81</v>
      </c>
      <c r="T27" s="7"/>
      <c r="U27" s="7"/>
      <c r="V27" s="7"/>
      <c r="W27" s="7"/>
      <c r="X27" s="7"/>
      <c r="Y27" s="7"/>
      <c r="Z27" s="37"/>
      <c r="AA27" s="37"/>
      <c r="AB27" s="113">
        <v>25</v>
      </c>
      <c r="AC27" s="6" t="s">
        <v>74</v>
      </c>
      <c r="AD27" s="114">
        <v>3.08</v>
      </c>
      <c r="AE27" s="33"/>
      <c r="AF27" s="3"/>
      <c r="AG27" s="3"/>
      <c r="AH27" s="3"/>
      <c r="AI27" s="3"/>
      <c r="AJ27" s="3"/>
      <c r="AK27" s="3"/>
    </row>
    <row r="28" spans="1:37" x14ac:dyDescent="0.25">
      <c r="A28" s="1"/>
      <c r="B28" s="2">
        <v>3</v>
      </c>
      <c r="C28" s="3">
        <v>20602891683</v>
      </c>
      <c r="D28" s="3" t="s">
        <v>38</v>
      </c>
      <c r="E28" s="5" t="s">
        <v>42</v>
      </c>
      <c r="F28" s="3"/>
      <c r="G28" s="40">
        <v>45061</v>
      </c>
      <c r="H28" s="40"/>
      <c r="I28" s="32" t="s">
        <v>55</v>
      </c>
      <c r="J28" s="32" t="s">
        <v>56</v>
      </c>
      <c r="K28" s="32">
        <v>102</v>
      </c>
      <c r="L28" s="6"/>
      <c r="M28" s="112">
        <v>6</v>
      </c>
      <c r="N28" s="112">
        <v>20378157138</v>
      </c>
      <c r="O28" s="3" t="s">
        <v>45</v>
      </c>
      <c r="P28" s="7"/>
      <c r="Q28" s="113">
        <v>21.19</v>
      </c>
      <c r="R28" s="7"/>
      <c r="S28" s="113">
        <v>3.81</v>
      </c>
      <c r="T28" s="7"/>
      <c r="U28" s="7"/>
      <c r="V28" s="7"/>
      <c r="W28" s="7"/>
      <c r="X28" s="7"/>
      <c r="Y28" s="7"/>
      <c r="Z28" s="37"/>
      <c r="AA28" s="37"/>
      <c r="AB28" s="113">
        <v>25</v>
      </c>
      <c r="AC28" s="6" t="s">
        <v>41</v>
      </c>
      <c r="AD28" s="114"/>
      <c r="AE28" s="33"/>
      <c r="AF28" s="3"/>
      <c r="AG28" s="3"/>
      <c r="AH28" s="3"/>
      <c r="AI28" s="3"/>
      <c r="AJ28" s="3"/>
      <c r="AK28" s="3"/>
    </row>
    <row r="29" spans="1:37" x14ac:dyDescent="0.25">
      <c r="A29" s="1"/>
      <c r="B29" s="2">
        <v>4</v>
      </c>
      <c r="C29" s="3">
        <v>20602891683</v>
      </c>
      <c r="D29" s="3" t="s">
        <v>38</v>
      </c>
      <c r="E29" s="5" t="s">
        <v>42</v>
      </c>
      <c r="F29" s="3"/>
      <c r="G29" s="40">
        <v>45061</v>
      </c>
      <c r="H29" s="40"/>
      <c r="I29" s="32" t="s">
        <v>39</v>
      </c>
      <c r="J29" s="32" t="s">
        <v>40</v>
      </c>
      <c r="K29" s="32">
        <v>384</v>
      </c>
      <c r="L29" s="6"/>
      <c r="M29" s="112">
        <v>1</v>
      </c>
      <c r="N29" s="112">
        <v>76789887</v>
      </c>
      <c r="O29" s="3" t="s">
        <v>73</v>
      </c>
      <c r="P29" s="7"/>
      <c r="Q29" s="113">
        <v>21.19</v>
      </c>
      <c r="R29" s="7"/>
      <c r="S29" s="113">
        <v>3.81</v>
      </c>
      <c r="T29" s="7"/>
      <c r="U29" s="7"/>
      <c r="V29" s="7"/>
      <c r="W29" s="7"/>
      <c r="X29" s="7"/>
      <c r="Y29" s="7"/>
      <c r="Z29" s="37"/>
      <c r="AA29" s="37"/>
      <c r="AB29" s="113">
        <v>25</v>
      </c>
      <c r="AC29" s="6" t="s">
        <v>41</v>
      </c>
      <c r="AD29" s="114"/>
      <c r="AE29" s="33"/>
      <c r="AF29" s="3"/>
      <c r="AG29" s="3"/>
      <c r="AH29" s="3"/>
      <c r="AI29" s="3"/>
      <c r="AJ29" s="3"/>
      <c r="AK29" s="3"/>
    </row>
    <row r="30" spans="1:37" x14ac:dyDescent="0.25">
      <c r="A30" s="1"/>
      <c r="B30" s="2">
        <v>5</v>
      </c>
      <c r="C30" s="3">
        <v>20602891683</v>
      </c>
      <c r="D30" s="3" t="s">
        <v>38</v>
      </c>
      <c r="E30" s="5" t="s">
        <v>42</v>
      </c>
      <c r="F30" s="5"/>
      <c r="G30" s="40">
        <v>45061</v>
      </c>
      <c r="H30" s="40"/>
      <c r="I30" s="32" t="s">
        <v>39</v>
      </c>
      <c r="J30" s="32" t="s">
        <v>40</v>
      </c>
      <c r="K30" s="32">
        <v>385</v>
      </c>
      <c r="L30" s="32" t="s">
        <v>215</v>
      </c>
      <c r="M30" s="112"/>
      <c r="N30" s="112"/>
      <c r="O30" s="3"/>
      <c r="P30" s="7"/>
      <c r="Q30" s="113">
        <v>21.19</v>
      </c>
      <c r="R30" s="7"/>
      <c r="S30" s="113">
        <v>3.81</v>
      </c>
      <c r="T30" s="7"/>
      <c r="U30" s="7"/>
      <c r="V30" s="7"/>
      <c r="W30" s="7"/>
      <c r="X30" s="7"/>
      <c r="Y30" s="7"/>
      <c r="Z30" s="37"/>
      <c r="AA30" s="37"/>
      <c r="AB30" s="113">
        <v>25</v>
      </c>
      <c r="AC30" s="6" t="s">
        <v>41</v>
      </c>
      <c r="AD30" s="114"/>
      <c r="AE30" s="33"/>
      <c r="AF30" s="2"/>
      <c r="AG30" s="1"/>
      <c r="AH30" s="2"/>
      <c r="AI30" s="3"/>
      <c r="AJ30" s="2"/>
      <c r="AK30" s="2"/>
    </row>
    <row r="31" spans="1:37" x14ac:dyDescent="0.25">
      <c r="A31" s="1"/>
      <c r="B31" s="2">
        <v>6</v>
      </c>
      <c r="C31" s="3">
        <v>20602891683</v>
      </c>
      <c r="D31" s="3" t="s">
        <v>38</v>
      </c>
      <c r="E31" s="5" t="s">
        <v>42</v>
      </c>
      <c r="F31" s="3"/>
      <c r="G31" s="40">
        <v>45061</v>
      </c>
      <c r="H31" s="40"/>
      <c r="I31" s="32" t="s">
        <v>70</v>
      </c>
      <c r="J31" s="32" t="s">
        <v>56</v>
      </c>
      <c r="K31" s="32">
        <v>2</v>
      </c>
      <c r="L31" s="32"/>
      <c r="M31" s="112">
        <v>6</v>
      </c>
      <c r="N31" s="112">
        <v>20334129595</v>
      </c>
      <c r="O31" s="3" t="s">
        <v>44</v>
      </c>
      <c r="P31" s="7"/>
      <c r="Q31" s="113">
        <v>-21.19</v>
      </c>
      <c r="R31" s="7"/>
      <c r="S31" s="113">
        <v>-3.81</v>
      </c>
      <c r="T31" s="7"/>
      <c r="U31" s="7"/>
      <c r="V31" s="7"/>
      <c r="W31" s="7"/>
      <c r="X31" s="7"/>
      <c r="Y31" s="7"/>
      <c r="Z31" s="37"/>
      <c r="AA31" s="37"/>
      <c r="AB31" s="113">
        <v>-25</v>
      </c>
      <c r="AC31" s="6" t="s">
        <v>41</v>
      </c>
      <c r="AD31" s="114"/>
      <c r="AE31" s="111" t="s">
        <v>216</v>
      </c>
      <c r="AF31" s="32" t="s">
        <v>55</v>
      </c>
      <c r="AG31" s="116" t="s">
        <v>213</v>
      </c>
      <c r="AH31" s="41">
        <v>100</v>
      </c>
      <c r="AI31" s="3"/>
      <c r="AJ31" s="3" t="s">
        <v>214</v>
      </c>
      <c r="AK31" s="3"/>
    </row>
    <row r="32" spans="1:37" ht="15.75" x14ac:dyDescent="0.25">
      <c r="A32" s="1"/>
      <c r="B32" s="2">
        <v>7</v>
      </c>
      <c r="C32" s="3">
        <v>20602891683</v>
      </c>
      <c r="D32" s="3" t="s">
        <v>38</v>
      </c>
      <c r="E32" s="5" t="s">
        <v>42</v>
      </c>
      <c r="F32" s="3"/>
      <c r="G32" s="40">
        <v>45061</v>
      </c>
      <c r="H32" s="40"/>
      <c r="I32" s="32" t="s">
        <v>71</v>
      </c>
      <c r="J32" s="32" t="s">
        <v>56</v>
      </c>
      <c r="K32" s="32">
        <v>3</v>
      </c>
      <c r="L32" s="32"/>
      <c r="M32" s="112">
        <v>6</v>
      </c>
      <c r="N32" s="112">
        <v>20378157138</v>
      </c>
      <c r="O32" s="3" t="s">
        <v>45</v>
      </c>
      <c r="P32" s="38"/>
      <c r="Q32" s="113">
        <v>21.19</v>
      </c>
      <c r="R32" s="7"/>
      <c r="S32" s="113">
        <v>3.81</v>
      </c>
      <c r="T32" s="7"/>
      <c r="U32" s="7"/>
      <c r="V32" s="7"/>
      <c r="W32" s="7"/>
      <c r="X32" s="7"/>
      <c r="Y32" s="7"/>
      <c r="Z32" s="37"/>
      <c r="AA32" s="37"/>
      <c r="AB32" s="113">
        <v>25</v>
      </c>
      <c r="AC32" s="6" t="s">
        <v>41</v>
      </c>
      <c r="AD32" s="114"/>
      <c r="AE32" s="115">
        <v>44936</v>
      </c>
      <c r="AF32" s="32" t="s">
        <v>55</v>
      </c>
      <c r="AG32" s="116" t="s">
        <v>213</v>
      </c>
      <c r="AH32" s="41">
        <v>65</v>
      </c>
      <c r="AI32" s="3"/>
      <c r="AJ32" s="117"/>
      <c r="AK32" s="3"/>
    </row>
  </sheetData>
  <sheetProtection algorithmName="SHA-512" hashValue="ojToTiMmgQgBqoOERRza2WYEuo4p8bTGkPhRkThSIoeIcbLiP5hC3v9cDkLFe7j4DmJw4mQE8ukRQHamyyz22w==" saltValue="a7iFBCK3UjOJFpJoKaHAuQ==" spinCount="100000" sheet="1" objects="1" scenarios="1" formatCells="0" formatColumns="0" formatRows="0" insertColumns="0" insertRows="0" deleteColumns="0" deleteRows="0" sort="0" autoFilter="0" pivotTables="0"/>
  <mergeCells count="1">
    <mergeCell ref="E4:G4"/>
  </mergeCells>
  <hyperlinks>
    <hyperlink ref="L16" r:id="rId1" xr:uid="{EC410492-5A41-4428-AA6E-D6A8C8D94EC6}"/>
    <hyperlink ref="L18" r:id="rId2" xr:uid="{917AD809-E8EE-410B-BF12-CE8A8C999B5C}"/>
    <hyperlink ref="L17" r:id="rId3" xr:uid="{BAC6B42B-C6F8-4202-97EC-8B9273A27BBE}"/>
  </hyperlinks>
  <pageMargins left="0.7" right="0.7" top="0.75" bottom="0.75" header="0.3" footer="0.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F713010-8CE2-484E-BED0-405CB5DB2FEA}">
          <x14:formula1>
            <xm:f>Hoja1!$F$2:$F$4</xm:f>
          </x14:formula1>
          <xm:sqref>D10</xm:sqref>
        </x14:dataValidation>
        <x14:dataValidation type="list" allowBlank="1" showInputMessage="1" showErrorMessage="1" xr:uid="{BC9D61FB-C98E-4C78-89D2-661F6AE0C71D}">
          <x14:formula1>
            <xm:f>Hoja1!$F$2:$F$3</xm:f>
          </x14:formula1>
          <xm:sqref>D11</xm:sqref>
        </x14:dataValidation>
        <x14:dataValidation type="list" allowBlank="1" showInputMessage="1" showErrorMessage="1" xr:uid="{B9912579-66FC-4558-88BE-E5AB65B6F57E}">
          <x14:formula1>
            <xm:f>Hoja1!$D$2:$D$13</xm:f>
          </x14:formula1>
          <xm:sqref>D6</xm:sqref>
        </x14:dataValidation>
        <x14:dataValidation type="list" allowBlank="1" showInputMessage="1" showErrorMessage="1" xr:uid="{7C456070-5687-4CC3-B29B-A48A0C2012B4}">
          <x14:formula1>
            <xm:f>Hoja1!$F$3:$F$4</xm:f>
          </x14:formula1>
          <xm:sqref>D12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26D0D-9CE3-4BA7-9CF3-CA054458A045}">
  <sheetPr codeName="Hoja4">
    <tabColor theme="1" tint="0.34998626667073579"/>
  </sheetPr>
  <dimension ref="A1:AK42"/>
  <sheetViews>
    <sheetView topLeftCell="A15" zoomScale="85" zoomScaleNormal="85" workbookViewId="0">
      <selection activeCell="P1048576" sqref="P1048576"/>
    </sheetView>
  </sheetViews>
  <sheetFormatPr baseColWidth="10" defaultColWidth="11.5703125" defaultRowHeight="15" x14ac:dyDescent="0.25"/>
  <cols>
    <col min="1" max="1" width="2.42578125" style="41" customWidth="1"/>
    <col min="2" max="2" width="6.28515625" style="41" customWidth="1"/>
    <col min="3" max="3" width="13.28515625" style="41" customWidth="1"/>
    <col min="4" max="4" width="23.28515625" style="41" customWidth="1"/>
    <col min="5" max="5" width="13.140625" style="41" customWidth="1"/>
    <col min="6" max="6" width="16.85546875" style="41" customWidth="1"/>
    <col min="7" max="7" width="16.5703125" style="41" bestFit="1" customWidth="1"/>
    <col min="8" max="8" width="16.28515625" style="41" bestFit="1" customWidth="1"/>
    <col min="9" max="9" width="13.85546875" style="41" customWidth="1"/>
    <col min="10" max="10" width="12.85546875" style="41" bestFit="1" customWidth="1"/>
    <col min="11" max="11" width="15.7109375" style="41" customWidth="1"/>
    <col min="12" max="12" width="14.85546875" style="41" customWidth="1"/>
    <col min="13" max="13" width="17.7109375" style="41" customWidth="1"/>
    <col min="14" max="14" width="17.140625" style="41" customWidth="1"/>
    <col min="15" max="15" width="30.5703125" style="41" customWidth="1"/>
    <col min="16" max="16" width="18.7109375" style="41" customWidth="1"/>
    <col min="17" max="19" width="13.5703125" style="41" customWidth="1"/>
    <col min="20" max="20" width="15.28515625" style="41" customWidth="1"/>
    <col min="21" max="21" width="15" style="41" customWidth="1"/>
    <col min="22" max="22" width="13.5703125" style="41" customWidth="1"/>
    <col min="23" max="23" width="9" style="41" customWidth="1"/>
    <col min="24" max="24" width="13.5703125" style="41" customWidth="1"/>
    <col min="25" max="25" width="10" style="41" customWidth="1"/>
    <col min="26" max="26" width="11.7109375" style="41" customWidth="1"/>
    <col min="27" max="27" width="14.140625" style="41" customWidth="1"/>
    <col min="28" max="28" width="13.5703125" style="41" customWidth="1"/>
    <col min="29" max="29" width="8.42578125" style="41" customWidth="1"/>
    <col min="30" max="30" width="12" style="41" customWidth="1"/>
    <col min="31" max="31" width="13" style="41" customWidth="1"/>
    <col min="32" max="32" width="10" style="41" customWidth="1"/>
    <col min="33" max="33" width="9.7109375" style="41" customWidth="1"/>
    <col min="34" max="34" width="11.28515625" style="41" customWidth="1"/>
    <col min="35" max="35" width="12.28515625" style="41" customWidth="1"/>
    <col min="36" max="36" width="33" style="41" customWidth="1"/>
    <col min="37" max="37" width="18.42578125" style="41" customWidth="1"/>
    <col min="38" max="38" width="7.85546875" style="41" customWidth="1"/>
    <col min="39" max="39" width="7" style="41" customWidth="1"/>
    <col min="40" max="51" width="11.5703125" style="41" customWidth="1"/>
    <col min="52" max="52" width="10" style="41" customWidth="1"/>
    <col min="53" max="53" width="5.85546875" style="41" customWidth="1"/>
    <col min="54" max="16384" width="11.5703125" style="41"/>
  </cols>
  <sheetData>
    <row r="1" spans="1:37" ht="14.45" customHeight="1" x14ac:dyDescent="0.25">
      <c r="B1" s="41" t="s">
        <v>179</v>
      </c>
      <c r="D1" s="118" t="s">
        <v>185</v>
      </c>
      <c r="E1" s="42"/>
      <c r="F1" s="42"/>
      <c r="G1" s="42"/>
    </row>
    <row r="2" spans="1:37" ht="14.45" customHeight="1" x14ac:dyDescent="0.25">
      <c r="B2" s="41" t="s">
        <v>178</v>
      </c>
      <c r="D2" s="118" t="s">
        <v>184</v>
      </c>
      <c r="E2" s="42"/>
    </row>
    <row r="3" spans="1:37" x14ac:dyDescent="0.25">
      <c r="B3" s="41" t="s">
        <v>99</v>
      </c>
      <c r="D3" s="119" t="s">
        <v>98</v>
      </c>
    </row>
    <row r="4" spans="1:37" x14ac:dyDescent="0.25">
      <c r="B4" s="41" t="s">
        <v>5</v>
      </c>
      <c r="D4" s="48">
        <v>20602891683</v>
      </c>
      <c r="E4" s="234" t="s">
        <v>38</v>
      </c>
      <c r="F4" s="234"/>
      <c r="G4" s="234"/>
    </row>
    <row r="5" spans="1:37" x14ac:dyDescent="0.25">
      <c r="B5" s="41" t="s">
        <v>170</v>
      </c>
      <c r="D5" s="120">
        <v>2023</v>
      </c>
    </row>
    <row r="6" spans="1:37" x14ac:dyDescent="0.25">
      <c r="B6" s="41" t="s">
        <v>169</v>
      </c>
      <c r="D6" s="121" t="s">
        <v>171</v>
      </c>
    </row>
    <row r="7" spans="1:37" x14ac:dyDescent="0.25">
      <c r="B7" s="41" t="s">
        <v>173</v>
      </c>
      <c r="D7" s="122" t="s">
        <v>174</v>
      </c>
    </row>
    <row r="8" spans="1:37" x14ac:dyDescent="0.25">
      <c r="B8" s="41" t="s">
        <v>168</v>
      </c>
      <c r="D8" s="119">
        <v>140400</v>
      </c>
    </row>
    <row r="9" spans="1:37" x14ac:dyDescent="0.25">
      <c r="B9" s="41" t="s">
        <v>175</v>
      </c>
      <c r="D9" s="123" t="s">
        <v>39</v>
      </c>
      <c r="E9" s="41" t="s">
        <v>191</v>
      </c>
    </row>
    <row r="10" spans="1:37" ht="14.45" customHeight="1" x14ac:dyDescent="0.25">
      <c r="B10" s="124" t="s">
        <v>125</v>
      </c>
      <c r="C10" s="124"/>
      <c r="D10" s="120">
        <v>1</v>
      </c>
      <c r="E10" s="124" t="s">
        <v>232</v>
      </c>
    </row>
    <row r="11" spans="1:37" ht="14.45" customHeight="1" x14ac:dyDescent="0.25">
      <c r="B11" s="124" t="s">
        <v>131</v>
      </c>
      <c r="C11" s="124"/>
      <c r="D11" s="120">
        <v>1</v>
      </c>
      <c r="E11" s="124" t="s">
        <v>233</v>
      </c>
    </row>
    <row r="12" spans="1:37" ht="14.45" customHeight="1" x14ac:dyDescent="0.25">
      <c r="B12" s="124" t="s">
        <v>136</v>
      </c>
      <c r="C12" s="124"/>
      <c r="D12" s="120">
        <v>1</v>
      </c>
      <c r="E12" s="125" t="s">
        <v>234</v>
      </c>
    </row>
    <row r="13" spans="1:37" ht="14.45" customHeight="1" x14ac:dyDescent="0.25">
      <c r="B13" s="41" t="s">
        <v>167</v>
      </c>
      <c r="D13" s="126">
        <v>2</v>
      </c>
      <c r="E13" s="127" t="s">
        <v>141</v>
      </c>
    </row>
    <row r="14" spans="1:37" ht="14.45" customHeight="1" x14ac:dyDescent="0.25">
      <c r="B14" s="41" t="s">
        <v>190</v>
      </c>
      <c r="D14" s="141" t="s">
        <v>55</v>
      </c>
      <c r="E14" s="124" t="s">
        <v>193</v>
      </c>
    </row>
    <row r="15" spans="1:37" ht="14.45" customHeight="1" x14ac:dyDescent="0.25">
      <c r="D15" s="126"/>
      <c r="E15" s="127"/>
    </row>
    <row r="16" spans="1:37" ht="26.45" customHeight="1" x14ac:dyDescent="0.45">
      <c r="A16" s="52"/>
      <c r="B16" s="53"/>
      <c r="C16" s="142"/>
      <c r="D16" s="142"/>
      <c r="E16" s="53"/>
      <c r="F16" s="53"/>
      <c r="G16" s="180"/>
      <c r="H16" s="180"/>
      <c r="I16" s="180"/>
      <c r="J16" s="171"/>
      <c r="K16" s="173" t="s">
        <v>229</v>
      </c>
      <c r="L16" s="174" t="s">
        <v>230</v>
      </c>
      <c r="M16" s="169"/>
      <c r="N16" s="169"/>
      <c r="O16" s="180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7"/>
      <c r="AA16" s="56"/>
      <c r="AB16" s="56"/>
      <c r="AC16" s="58"/>
      <c r="AD16" s="56"/>
      <c r="AE16" s="56"/>
      <c r="AF16" s="56"/>
      <c r="AG16" s="56"/>
      <c r="AH16" s="56"/>
      <c r="AI16" s="56"/>
      <c r="AJ16" s="56"/>
      <c r="AK16" s="56"/>
    </row>
    <row r="17" spans="1:37" ht="26.45" customHeight="1" thickBot="1" x14ac:dyDescent="0.4">
      <c r="A17" s="59"/>
      <c r="B17" s="59"/>
      <c r="C17" s="143"/>
      <c r="D17" s="144"/>
      <c r="E17" s="59"/>
      <c r="F17" s="59"/>
      <c r="G17" s="181"/>
      <c r="H17" s="181"/>
      <c r="I17" s="181"/>
      <c r="J17" s="171"/>
      <c r="K17" s="173" t="s">
        <v>229</v>
      </c>
      <c r="L17" s="178" t="s">
        <v>228</v>
      </c>
      <c r="M17" s="171"/>
      <c r="N17" s="171"/>
      <c r="O17" s="181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4"/>
      <c r="AA17" s="63"/>
      <c r="AB17" s="63"/>
      <c r="AC17" s="58"/>
      <c r="AD17" s="63"/>
      <c r="AE17" s="63"/>
      <c r="AF17" s="63"/>
      <c r="AG17" s="63"/>
      <c r="AH17" s="63"/>
      <c r="AI17" s="63"/>
      <c r="AJ17" s="63"/>
      <c r="AK17" s="63"/>
    </row>
    <row r="18" spans="1:37" ht="43.15" customHeight="1" x14ac:dyDescent="0.25">
      <c r="A18" s="59"/>
      <c r="B18" s="59"/>
      <c r="C18" s="143"/>
      <c r="D18" s="144"/>
      <c r="E18" s="128"/>
      <c r="F18" s="128"/>
      <c r="G18" s="181"/>
      <c r="H18" s="182"/>
      <c r="I18" s="181"/>
      <c r="J18" s="171"/>
      <c r="K18" s="177" t="s">
        <v>224</v>
      </c>
      <c r="L18" s="178" t="s">
        <v>225</v>
      </c>
      <c r="M18" s="171"/>
      <c r="N18" s="171"/>
      <c r="O18" s="181"/>
      <c r="P18" s="67" t="str">
        <f t="shared" ref="P18:AB18" si="0">+P26</f>
        <v>EXPORTACION</v>
      </c>
      <c r="Q18" s="68" t="str">
        <f t="shared" si="0"/>
        <v>BASE IMPONIBLE GRAVADA</v>
      </c>
      <c r="R18" s="69" t="str">
        <f t="shared" si="0"/>
        <v>DESCUENTO BASE IMPONIBLE GRAVADA</v>
      </c>
      <c r="S18" s="68" t="str">
        <f t="shared" si="0"/>
        <v>IGV 18% Y 10%</v>
      </c>
      <c r="T18" s="69" t="str">
        <f t="shared" si="0"/>
        <v>DESCUENTO IGV  18% Y 10%</v>
      </c>
      <c r="U18" s="70" t="str">
        <f t="shared" si="0"/>
        <v>EXONERADO</v>
      </c>
      <c r="V18" s="70" t="str">
        <f t="shared" si="0"/>
        <v>INAFECTO</v>
      </c>
      <c r="W18" s="71" t="str">
        <f t="shared" si="0"/>
        <v>I.S.C</v>
      </c>
      <c r="X18" s="72" t="str">
        <f t="shared" si="0"/>
        <v>BASE IMPONIBLE IVAP - ARROZ PILADO</v>
      </c>
      <c r="Y18" s="72" t="str">
        <f t="shared" si="0"/>
        <v>IVAP - ARROZ PILADO</v>
      </c>
      <c r="Z18" s="73" t="str">
        <f t="shared" si="0"/>
        <v>ICBPER-BOLSAS</v>
      </c>
      <c r="AA18" s="74" t="str">
        <f t="shared" si="0"/>
        <v>OTROS CONCEPTOS / TRIBUTOS</v>
      </c>
      <c r="AB18" s="75" t="str">
        <f t="shared" si="0"/>
        <v>IMPORTE TOTAL</v>
      </c>
      <c r="AC18" s="58"/>
      <c r="AD18" s="63"/>
      <c r="AE18" s="63"/>
      <c r="AF18" s="63"/>
      <c r="AG18" s="63"/>
      <c r="AH18" s="63"/>
      <c r="AI18" s="63"/>
      <c r="AJ18" s="63"/>
      <c r="AK18" s="63"/>
    </row>
    <row r="19" spans="1:37" ht="26.45" customHeight="1" x14ac:dyDescent="0.25">
      <c r="A19" s="59"/>
      <c r="B19" s="59"/>
      <c r="C19" s="143"/>
      <c r="D19" s="144"/>
      <c r="E19" s="128"/>
      <c r="F19" s="128"/>
      <c r="G19" s="181"/>
      <c r="H19" s="182"/>
      <c r="I19" s="181"/>
      <c r="J19" s="169"/>
      <c r="K19" s="177" t="s">
        <v>226</v>
      </c>
      <c r="L19" s="178" t="s">
        <v>227</v>
      </c>
      <c r="M19" s="171"/>
      <c r="N19" s="171"/>
      <c r="O19" s="181"/>
      <c r="P19" s="165">
        <f t="shared" ref="P19:AB19" si="1">+SUM(P27:P1048576)</f>
        <v>0</v>
      </c>
      <c r="Q19" s="165">
        <f t="shared" si="1"/>
        <v>105.95</v>
      </c>
      <c r="R19" s="165">
        <f t="shared" si="1"/>
        <v>0</v>
      </c>
      <c r="S19" s="165">
        <f t="shared" si="1"/>
        <v>19.05</v>
      </c>
      <c r="T19" s="165">
        <f t="shared" si="1"/>
        <v>0</v>
      </c>
      <c r="U19" s="165">
        <f t="shared" si="1"/>
        <v>0</v>
      </c>
      <c r="V19" s="165">
        <f t="shared" si="1"/>
        <v>0</v>
      </c>
      <c r="W19" s="165">
        <f t="shared" si="1"/>
        <v>0</v>
      </c>
      <c r="X19" s="165">
        <f t="shared" si="1"/>
        <v>0</v>
      </c>
      <c r="Y19" s="165">
        <f t="shared" si="1"/>
        <v>0</v>
      </c>
      <c r="Z19" s="165">
        <f t="shared" si="1"/>
        <v>0</v>
      </c>
      <c r="AA19" s="165">
        <f t="shared" si="1"/>
        <v>0</v>
      </c>
      <c r="AB19" s="165">
        <f t="shared" si="1"/>
        <v>125</v>
      </c>
      <c r="AC19" s="58"/>
      <c r="AD19" s="63"/>
      <c r="AE19" s="63"/>
      <c r="AF19" s="63"/>
      <c r="AG19" s="63"/>
      <c r="AH19" s="63"/>
      <c r="AI19" s="63"/>
      <c r="AJ19" s="63"/>
      <c r="AK19" s="63"/>
    </row>
    <row r="20" spans="1:37" ht="26.25" x14ac:dyDescent="0.25">
      <c r="A20" s="53"/>
      <c r="B20" s="53"/>
      <c r="C20" s="143"/>
      <c r="D20" s="142"/>
      <c r="E20" s="53"/>
      <c r="F20" s="53"/>
      <c r="G20" s="185"/>
      <c r="H20" s="186"/>
      <c r="I20" s="180"/>
      <c r="J20" s="169"/>
      <c r="K20" s="177"/>
      <c r="L20" s="184"/>
      <c r="M20" s="169"/>
      <c r="N20" s="169"/>
      <c r="O20" s="180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7" t="s">
        <v>1</v>
      </c>
      <c r="AA20" s="165">
        <f>+SUM(P19:AA19)</f>
        <v>125</v>
      </c>
      <c r="AB20" s="165">
        <f>+AB19</f>
        <v>125</v>
      </c>
      <c r="AC20" s="58"/>
      <c r="AD20" s="130"/>
      <c r="AE20" s="56"/>
      <c r="AF20" s="56"/>
      <c r="AG20" s="56"/>
      <c r="AH20" s="56"/>
      <c r="AI20" s="56"/>
      <c r="AJ20" s="56"/>
      <c r="AK20" s="56"/>
    </row>
    <row r="21" spans="1:37" ht="35.450000000000003" customHeight="1" x14ac:dyDescent="0.35">
      <c r="A21" s="53"/>
      <c r="B21" s="76"/>
      <c r="C21" s="142"/>
      <c r="D21" s="142"/>
      <c r="E21" s="53"/>
      <c r="F21" s="53"/>
      <c r="G21" s="185"/>
      <c r="H21" s="185"/>
      <c r="I21" s="180"/>
      <c r="J21" s="180"/>
      <c r="K21" s="180"/>
      <c r="L21" s="180"/>
      <c r="M21" s="180"/>
      <c r="N21" s="180"/>
      <c r="O21" s="180"/>
      <c r="P21" s="166"/>
      <c r="Q21" s="166"/>
      <c r="R21" s="166"/>
      <c r="S21" s="166"/>
      <c r="T21" s="166"/>
      <c r="U21" s="166"/>
      <c r="V21" s="166"/>
      <c r="W21" s="166"/>
      <c r="X21" s="166"/>
      <c r="Y21" s="166"/>
      <c r="Z21" s="167" t="s">
        <v>43</v>
      </c>
      <c r="AA21" s="165">
        <f>+AA20-AB20</f>
        <v>0</v>
      </c>
      <c r="AB21" s="168"/>
      <c r="AC21" s="58"/>
      <c r="AD21" s="130"/>
      <c r="AE21" s="56"/>
      <c r="AF21" s="56"/>
      <c r="AG21" s="56"/>
      <c r="AH21" s="56"/>
      <c r="AI21" s="56"/>
      <c r="AJ21" s="56"/>
      <c r="AK21" s="56"/>
    </row>
    <row r="22" spans="1:37" ht="23.25" x14ac:dyDescent="0.35">
      <c r="A22" s="56"/>
      <c r="B22" s="77" t="s">
        <v>200</v>
      </c>
      <c r="C22" s="145"/>
      <c r="D22" s="146"/>
      <c r="E22" s="131"/>
      <c r="F22" s="131"/>
      <c r="G22" s="130"/>
      <c r="H22" s="13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84"/>
      <c r="AA22" s="56"/>
      <c r="AB22" s="56"/>
      <c r="AC22" s="83"/>
      <c r="AD22" s="130"/>
      <c r="AE22" s="56"/>
      <c r="AF22" s="56"/>
      <c r="AG22" s="56"/>
      <c r="AH22" s="56"/>
      <c r="AI22" s="56"/>
      <c r="AJ22" s="56"/>
      <c r="AK22" s="56"/>
    </row>
    <row r="23" spans="1:37" ht="23.25" x14ac:dyDescent="0.35">
      <c r="A23" s="85"/>
      <c r="B23" s="77" t="s">
        <v>199</v>
      </c>
      <c r="C23" s="147"/>
      <c r="D23" s="133"/>
      <c r="E23" s="133"/>
      <c r="F23" s="133"/>
      <c r="G23" s="134"/>
      <c r="H23" s="132"/>
      <c r="I23" s="90"/>
      <c r="J23" s="90"/>
      <c r="K23" s="90"/>
      <c r="L23" s="90"/>
      <c r="M23" s="90"/>
      <c r="N23" s="90"/>
      <c r="O23" s="90"/>
      <c r="P23" s="90"/>
      <c r="Q23" s="56"/>
      <c r="R23" s="90"/>
      <c r="S23" s="90"/>
      <c r="T23" s="90"/>
      <c r="U23" s="90"/>
      <c r="V23" s="90"/>
      <c r="W23" s="90"/>
      <c r="X23" s="90"/>
      <c r="Y23" s="90"/>
      <c r="Z23" s="91"/>
      <c r="AA23" s="90"/>
      <c r="AB23" s="90"/>
      <c r="AC23" s="90"/>
      <c r="AD23" s="135"/>
      <c r="AE23" s="90"/>
      <c r="AF23" s="90"/>
      <c r="AG23" s="90"/>
      <c r="AH23" s="90"/>
      <c r="AI23" s="90"/>
      <c r="AJ23" s="90"/>
      <c r="AK23" s="90"/>
    </row>
    <row r="24" spans="1:37" ht="43.15" customHeight="1" thickBot="1" x14ac:dyDescent="0.3">
      <c r="A24" s="85"/>
      <c r="B24" s="136"/>
      <c r="C24" s="136"/>
      <c r="D24" s="136"/>
      <c r="E24" s="136"/>
      <c r="F24" s="136"/>
      <c r="G24" s="134"/>
      <c r="H24" s="135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1"/>
      <c r="AA24" s="90"/>
      <c r="AB24" s="90"/>
      <c r="AC24" s="90"/>
      <c r="AD24" s="135"/>
      <c r="AE24" s="90"/>
      <c r="AF24" s="90"/>
      <c r="AG24" s="90"/>
      <c r="AH24" s="90"/>
      <c r="AI24" s="90"/>
      <c r="AJ24" s="90"/>
      <c r="AK24" s="90"/>
    </row>
    <row r="25" spans="1:37" ht="15.75" thickBot="1" x14ac:dyDescent="0.3">
      <c r="A25" s="85"/>
      <c r="B25" s="92" t="s">
        <v>2</v>
      </c>
      <c r="C25" s="92">
        <v>1</v>
      </c>
      <c r="D25" s="92">
        <v>2</v>
      </c>
      <c r="E25" s="92">
        <v>3</v>
      </c>
      <c r="F25" s="92">
        <v>4</v>
      </c>
      <c r="G25" s="92">
        <v>5</v>
      </c>
      <c r="H25" s="92">
        <v>6</v>
      </c>
      <c r="I25" s="92">
        <v>7</v>
      </c>
      <c r="J25" s="92">
        <v>8</v>
      </c>
      <c r="K25" s="92">
        <v>9</v>
      </c>
      <c r="L25" s="92">
        <v>10</v>
      </c>
      <c r="M25" s="92">
        <v>11</v>
      </c>
      <c r="N25" s="92">
        <v>12</v>
      </c>
      <c r="O25" s="92">
        <v>13</v>
      </c>
      <c r="P25" s="92">
        <v>14</v>
      </c>
      <c r="Q25" s="92">
        <v>15</v>
      </c>
      <c r="R25" s="92">
        <v>16</v>
      </c>
      <c r="S25" s="92">
        <v>17</v>
      </c>
      <c r="T25" s="92">
        <v>18</v>
      </c>
      <c r="U25" s="92">
        <v>19</v>
      </c>
      <c r="V25" s="92">
        <v>20</v>
      </c>
      <c r="W25" s="92">
        <v>21</v>
      </c>
      <c r="X25" s="94">
        <v>22</v>
      </c>
      <c r="Y25" s="94">
        <v>23</v>
      </c>
      <c r="Z25" s="92">
        <v>24</v>
      </c>
      <c r="AA25" s="92">
        <v>25</v>
      </c>
      <c r="AB25" s="94">
        <v>26</v>
      </c>
      <c r="AC25" s="94">
        <v>27</v>
      </c>
      <c r="AD25" s="94">
        <v>28</v>
      </c>
      <c r="AE25" s="94">
        <v>29</v>
      </c>
      <c r="AF25" s="92">
        <v>30</v>
      </c>
      <c r="AG25" s="92">
        <v>31</v>
      </c>
      <c r="AH25" s="92">
        <v>32</v>
      </c>
      <c r="AI25" s="92">
        <v>33</v>
      </c>
      <c r="AJ25" s="92">
        <v>41</v>
      </c>
      <c r="AK25" s="92" t="s">
        <v>58</v>
      </c>
    </row>
    <row r="26" spans="1:37" ht="54.6" customHeight="1" thickBot="1" x14ac:dyDescent="0.3">
      <c r="A26" s="85"/>
      <c r="B26" s="95" t="s">
        <v>4</v>
      </c>
      <c r="C26" s="96" t="s">
        <v>5</v>
      </c>
      <c r="D26" s="96" t="s">
        <v>6</v>
      </c>
      <c r="E26" s="97" t="s">
        <v>7</v>
      </c>
      <c r="F26" s="137" t="s">
        <v>8</v>
      </c>
      <c r="G26" s="138" t="s">
        <v>9</v>
      </c>
      <c r="H26" s="138" t="s">
        <v>10</v>
      </c>
      <c r="I26" s="100" t="s">
        <v>11</v>
      </c>
      <c r="J26" s="100" t="s">
        <v>12</v>
      </c>
      <c r="K26" s="100" t="s">
        <v>13</v>
      </c>
      <c r="L26" s="100" t="s">
        <v>14</v>
      </c>
      <c r="M26" s="100" t="s">
        <v>15</v>
      </c>
      <c r="N26" s="100" t="s">
        <v>16</v>
      </c>
      <c r="O26" s="100" t="s">
        <v>17</v>
      </c>
      <c r="P26" s="101" t="s">
        <v>18</v>
      </c>
      <c r="Q26" s="102" t="s">
        <v>19</v>
      </c>
      <c r="R26" s="103" t="s">
        <v>20</v>
      </c>
      <c r="S26" s="102" t="s">
        <v>21</v>
      </c>
      <c r="T26" s="103" t="s">
        <v>22</v>
      </c>
      <c r="U26" s="104" t="s">
        <v>23</v>
      </c>
      <c r="V26" s="104" t="s">
        <v>24</v>
      </c>
      <c r="W26" s="105" t="s">
        <v>25</v>
      </c>
      <c r="X26" s="106" t="s">
        <v>26</v>
      </c>
      <c r="Y26" s="106" t="s">
        <v>27</v>
      </c>
      <c r="Z26" s="107" t="s">
        <v>28</v>
      </c>
      <c r="AA26" s="108" t="s">
        <v>29</v>
      </c>
      <c r="AB26" s="109" t="s">
        <v>30</v>
      </c>
      <c r="AC26" s="110" t="s">
        <v>31</v>
      </c>
      <c r="AD26" s="139" t="s">
        <v>32</v>
      </c>
      <c r="AE26" s="110" t="s">
        <v>33</v>
      </c>
      <c r="AF26" s="110" t="s">
        <v>34</v>
      </c>
      <c r="AG26" s="110" t="s">
        <v>35</v>
      </c>
      <c r="AH26" s="110" t="s">
        <v>36</v>
      </c>
      <c r="AI26" s="110" t="s">
        <v>37</v>
      </c>
      <c r="AJ26" s="148" t="s">
        <v>217</v>
      </c>
      <c r="AK26" s="110" t="s">
        <v>202</v>
      </c>
    </row>
    <row r="27" spans="1:37" ht="15.75" x14ac:dyDescent="0.25">
      <c r="A27" s="1"/>
      <c r="B27" s="2">
        <v>1</v>
      </c>
      <c r="C27" s="3">
        <v>20602891683</v>
      </c>
      <c r="D27" s="3" t="s">
        <v>38</v>
      </c>
      <c r="E27" s="5" t="s">
        <v>42</v>
      </c>
      <c r="F27" s="3"/>
      <c r="G27" s="140" t="s">
        <v>216</v>
      </c>
      <c r="H27" s="140"/>
      <c r="I27" s="32" t="s">
        <v>55</v>
      </c>
      <c r="J27" s="32" t="s">
        <v>56</v>
      </c>
      <c r="K27" s="32">
        <v>100</v>
      </c>
      <c r="L27" s="6"/>
      <c r="M27" s="112">
        <v>6</v>
      </c>
      <c r="N27" s="112">
        <v>20334129595</v>
      </c>
      <c r="O27" s="3" t="s">
        <v>44</v>
      </c>
      <c r="P27" s="36"/>
      <c r="Q27" s="113">
        <v>21.19</v>
      </c>
      <c r="R27" s="7"/>
      <c r="S27" s="113">
        <v>3.81</v>
      </c>
      <c r="T27" s="7"/>
      <c r="U27" s="7"/>
      <c r="V27" s="7"/>
      <c r="W27" s="7"/>
      <c r="X27" s="7"/>
      <c r="Y27" s="7"/>
      <c r="Z27" s="37"/>
      <c r="AA27" s="37"/>
      <c r="AB27" s="113">
        <v>25</v>
      </c>
      <c r="AC27" s="6" t="s">
        <v>41</v>
      </c>
      <c r="AD27" s="114"/>
      <c r="AE27" s="33"/>
      <c r="AF27" s="3"/>
      <c r="AG27" s="3"/>
      <c r="AH27" s="3"/>
      <c r="AI27" s="3"/>
      <c r="AJ27" s="117" t="s">
        <v>235</v>
      </c>
      <c r="AK27" s="3" t="s">
        <v>75</v>
      </c>
    </row>
    <row r="28" spans="1:37" ht="15.75" x14ac:dyDescent="0.25">
      <c r="A28" s="1"/>
      <c r="B28" s="2">
        <v>2</v>
      </c>
      <c r="C28" s="3">
        <v>20602891683</v>
      </c>
      <c r="D28" s="3" t="s">
        <v>38</v>
      </c>
      <c r="E28" s="5" t="s">
        <v>42</v>
      </c>
      <c r="F28" s="3"/>
      <c r="G28" s="40">
        <v>45061</v>
      </c>
      <c r="H28" s="40"/>
      <c r="I28" s="32" t="s">
        <v>55</v>
      </c>
      <c r="J28" s="32" t="s">
        <v>56</v>
      </c>
      <c r="K28" s="32">
        <v>101</v>
      </c>
      <c r="L28" s="6"/>
      <c r="M28" s="112">
        <v>6</v>
      </c>
      <c r="N28" s="112">
        <v>20122746292</v>
      </c>
      <c r="O28" s="3" t="s">
        <v>72</v>
      </c>
      <c r="P28" s="7"/>
      <c r="Q28" s="113">
        <v>21.19</v>
      </c>
      <c r="R28" s="7"/>
      <c r="S28" s="113">
        <v>3.81</v>
      </c>
      <c r="T28" s="7"/>
      <c r="U28" s="7"/>
      <c r="V28" s="7"/>
      <c r="W28" s="7"/>
      <c r="X28" s="7"/>
      <c r="Y28" s="7"/>
      <c r="Z28" s="37"/>
      <c r="AA28" s="37"/>
      <c r="AB28" s="113">
        <v>25</v>
      </c>
      <c r="AC28" s="6" t="s">
        <v>74</v>
      </c>
      <c r="AD28" s="114">
        <v>3.08</v>
      </c>
      <c r="AE28" s="33"/>
      <c r="AF28" s="3"/>
      <c r="AG28" s="3"/>
      <c r="AH28" s="3"/>
      <c r="AI28" s="3"/>
      <c r="AJ28" s="117" t="s">
        <v>236</v>
      </c>
      <c r="AK28" s="3"/>
    </row>
    <row r="29" spans="1:37" ht="15.75" x14ac:dyDescent="0.25">
      <c r="A29" s="1"/>
      <c r="B29" s="2">
        <v>3</v>
      </c>
      <c r="C29" s="3">
        <v>20602891683</v>
      </c>
      <c r="D29" s="3" t="s">
        <v>38</v>
      </c>
      <c r="E29" s="5" t="s">
        <v>42</v>
      </c>
      <c r="F29" s="3"/>
      <c r="G29" s="40">
        <v>45061</v>
      </c>
      <c r="H29" s="40"/>
      <c r="I29" s="32" t="s">
        <v>55</v>
      </c>
      <c r="J29" s="32" t="s">
        <v>56</v>
      </c>
      <c r="K29" s="32">
        <v>102</v>
      </c>
      <c r="L29" s="6"/>
      <c r="M29" s="112">
        <v>6</v>
      </c>
      <c r="N29" s="112">
        <v>20378157138</v>
      </c>
      <c r="O29" s="3" t="s">
        <v>45</v>
      </c>
      <c r="P29" s="7"/>
      <c r="Q29" s="113">
        <v>21.19</v>
      </c>
      <c r="R29" s="7"/>
      <c r="S29" s="113">
        <v>3.81</v>
      </c>
      <c r="T29" s="7"/>
      <c r="U29" s="7"/>
      <c r="V29" s="7"/>
      <c r="W29" s="7"/>
      <c r="X29" s="7"/>
      <c r="Y29" s="7"/>
      <c r="Z29" s="37"/>
      <c r="AA29" s="37"/>
      <c r="AB29" s="113">
        <v>25</v>
      </c>
      <c r="AC29" s="6" t="s">
        <v>41</v>
      </c>
      <c r="AD29" s="114"/>
      <c r="AE29" s="33"/>
      <c r="AF29" s="3"/>
      <c r="AG29" s="3"/>
      <c r="AH29" s="3"/>
      <c r="AI29" s="3"/>
      <c r="AJ29" s="117" t="s">
        <v>237</v>
      </c>
      <c r="AK29" s="3"/>
    </row>
    <row r="30" spans="1:37" ht="15.75" x14ac:dyDescent="0.25">
      <c r="A30" s="1"/>
      <c r="B30" s="2">
        <v>4</v>
      </c>
      <c r="C30" s="3">
        <v>20602891683</v>
      </c>
      <c r="D30" s="3" t="s">
        <v>38</v>
      </c>
      <c r="E30" s="5" t="s">
        <v>42</v>
      </c>
      <c r="F30" s="3"/>
      <c r="G30" s="40">
        <v>45061</v>
      </c>
      <c r="H30" s="40"/>
      <c r="I30" s="32" t="s">
        <v>39</v>
      </c>
      <c r="J30" s="32" t="s">
        <v>40</v>
      </c>
      <c r="K30" s="32">
        <v>384</v>
      </c>
      <c r="L30" s="6"/>
      <c r="M30" s="112">
        <v>1</v>
      </c>
      <c r="N30" s="112">
        <v>76789887</v>
      </c>
      <c r="O30" s="3" t="s">
        <v>73</v>
      </c>
      <c r="P30" s="7"/>
      <c r="Q30" s="113">
        <v>21.19</v>
      </c>
      <c r="R30" s="7"/>
      <c r="S30" s="113">
        <v>3.81</v>
      </c>
      <c r="T30" s="7"/>
      <c r="U30" s="7"/>
      <c r="V30" s="7"/>
      <c r="W30" s="7"/>
      <c r="X30" s="7"/>
      <c r="Y30" s="7"/>
      <c r="Z30" s="37"/>
      <c r="AA30" s="37"/>
      <c r="AB30" s="113">
        <v>25</v>
      </c>
      <c r="AC30" s="6" t="s">
        <v>41</v>
      </c>
      <c r="AD30" s="114"/>
      <c r="AE30" s="33"/>
      <c r="AF30" s="3"/>
      <c r="AG30" s="3"/>
      <c r="AH30" s="3"/>
      <c r="AI30" s="3"/>
      <c r="AJ30" s="117" t="s">
        <v>238</v>
      </c>
      <c r="AK30" s="3"/>
    </row>
    <row r="31" spans="1:37" ht="15.75" x14ac:dyDescent="0.25">
      <c r="A31" s="1"/>
      <c r="B31" s="2">
        <v>5</v>
      </c>
      <c r="C31" s="3">
        <v>20602891683</v>
      </c>
      <c r="D31" s="3" t="s">
        <v>38</v>
      </c>
      <c r="E31" s="5" t="s">
        <v>42</v>
      </c>
      <c r="F31" s="5"/>
      <c r="G31" s="40">
        <v>45061</v>
      </c>
      <c r="H31" s="40"/>
      <c r="I31" s="32" t="s">
        <v>39</v>
      </c>
      <c r="J31" s="32" t="s">
        <v>40</v>
      </c>
      <c r="K31" s="32">
        <v>385</v>
      </c>
      <c r="L31" s="32" t="s">
        <v>215</v>
      </c>
      <c r="M31" s="112"/>
      <c r="N31" s="112"/>
      <c r="O31" s="3"/>
      <c r="P31" s="7"/>
      <c r="Q31" s="113">
        <v>21.19</v>
      </c>
      <c r="R31" s="7"/>
      <c r="S31" s="113">
        <v>3.81</v>
      </c>
      <c r="T31" s="7"/>
      <c r="U31" s="7"/>
      <c r="V31" s="7"/>
      <c r="W31" s="7"/>
      <c r="X31" s="7"/>
      <c r="Y31" s="7"/>
      <c r="Z31" s="37"/>
      <c r="AA31" s="37"/>
      <c r="AB31" s="113">
        <v>25</v>
      </c>
      <c r="AC31" s="6" t="s">
        <v>41</v>
      </c>
      <c r="AD31" s="114"/>
      <c r="AE31" s="33"/>
      <c r="AF31" s="2"/>
      <c r="AG31" s="1"/>
      <c r="AH31" s="2"/>
      <c r="AI31" s="3"/>
      <c r="AJ31" s="117" t="s">
        <v>239</v>
      </c>
      <c r="AK31" s="2"/>
    </row>
    <row r="32" spans="1:37" ht="15.75" x14ac:dyDescent="0.25">
      <c r="A32" s="1"/>
      <c r="B32" s="2">
        <v>6</v>
      </c>
      <c r="C32" s="3">
        <v>20602891683</v>
      </c>
      <c r="D32" s="3" t="s">
        <v>38</v>
      </c>
      <c r="E32" s="5" t="s">
        <v>42</v>
      </c>
      <c r="F32" s="3"/>
      <c r="G32" s="40">
        <v>45061</v>
      </c>
      <c r="H32" s="40"/>
      <c r="I32" s="32" t="s">
        <v>70</v>
      </c>
      <c r="J32" s="32" t="s">
        <v>56</v>
      </c>
      <c r="K32" s="32">
        <v>2</v>
      </c>
      <c r="L32" s="32"/>
      <c r="M32" s="112">
        <v>6</v>
      </c>
      <c r="N32" s="112">
        <v>20334129595</v>
      </c>
      <c r="O32" s="3" t="s">
        <v>44</v>
      </c>
      <c r="P32" s="7"/>
      <c r="Q32" s="113">
        <v>-21.19</v>
      </c>
      <c r="R32" s="7"/>
      <c r="S32" s="113">
        <v>-3.81</v>
      </c>
      <c r="T32" s="7"/>
      <c r="U32" s="7"/>
      <c r="V32" s="7"/>
      <c r="W32" s="7"/>
      <c r="X32" s="7"/>
      <c r="Y32" s="7"/>
      <c r="Z32" s="37"/>
      <c r="AA32" s="37"/>
      <c r="AB32" s="113">
        <v>-25</v>
      </c>
      <c r="AC32" s="6" t="s">
        <v>41</v>
      </c>
      <c r="AD32" s="114"/>
      <c r="AE32" s="111" t="s">
        <v>216</v>
      </c>
      <c r="AF32" s="32" t="s">
        <v>55</v>
      </c>
      <c r="AG32" s="116" t="s">
        <v>213</v>
      </c>
      <c r="AH32" s="41">
        <v>100</v>
      </c>
      <c r="AI32" s="3"/>
      <c r="AJ32" s="117" t="s">
        <v>240</v>
      </c>
      <c r="AK32" s="3" t="s">
        <v>75</v>
      </c>
    </row>
    <row r="33" spans="1:37" ht="15.75" x14ac:dyDescent="0.25">
      <c r="A33" s="1"/>
      <c r="B33" s="2">
        <v>7</v>
      </c>
      <c r="C33" s="3">
        <v>20602891683</v>
      </c>
      <c r="D33" s="3" t="s">
        <v>38</v>
      </c>
      <c r="E33" s="5" t="s">
        <v>42</v>
      </c>
      <c r="F33" s="3"/>
      <c r="G33" s="40">
        <v>45061</v>
      </c>
      <c r="H33" s="40"/>
      <c r="I33" s="32" t="s">
        <v>71</v>
      </c>
      <c r="J33" s="32" t="s">
        <v>56</v>
      </c>
      <c r="K33" s="32">
        <v>3</v>
      </c>
      <c r="L33" s="32"/>
      <c r="M33" s="112">
        <v>6</v>
      </c>
      <c r="N33" s="112">
        <v>20378157138</v>
      </c>
      <c r="O33" s="3" t="s">
        <v>45</v>
      </c>
      <c r="P33" s="38"/>
      <c r="Q33" s="113">
        <v>21.19</v>
      </c>
      <c r="R33" s="7"/>
      <c r="S33" s="113">
        <v>3.81</v>
      </c>
      <c r="T33" s="7"/>
      <c r="U33" s="7"/>
      <c r="V33" s="7"/>
      <c r="W33" s="7"/>
      <c r="X33" s="7"/>
      <c r="Y33" s="7"/>
      <c r="Z33" s="37"/>
      <c r="AA33" s="37"/>
      <c r="AB33" s="113">
        <v>25</v>
      </c>
      <c r="AC33" s="6" t="s">
        <v>41</v>
      </c>
      <c r="AD33" s="114"/>
      <c r="AE33" s="115">
        <v>44936</v>
      </c>
      <c r="AF33" s="32" t="s">
        <v>55</v>
      </c>
      <c r="AG33" s="116" t="s">
        <v>213</v>
      </c>
      <c r="AH33" s="41">
        <v>65</v>
      </c>
      <c r="AI33" s="3"/>
      <c r="AJ33" s="117" t="s">
        <v>241</v>
      </c>
      <c r="AK33" s="3"/>
    </row>
    <row r="36" spans="1:37" x14ac:dyDescent="0.25">
      <c r="AJ36" s="112"/>
    </row>
    <row r="37" spans="1:37" x14ac:dyDescent="0.25">
      <c r="AJ37" s="112"/>
    </row>
    <row r="38" spans="1:37" x14ac:dyDescent="0.25">
      <c r="AJ38" s="112"/>
    </row>
    <row r="39" spans="1:37" x14ac:dyDescent="0.25">
      <c r="AJ39" s="112"/>
    </row>
    <row r="40" spans="1:37" x14ac:dyDescent="0.25">
      <c r="AJ40" s="112"/>
    </row>
    <row r="41" spans="1:37" x14ac:dyDescent="0.25">
      <c r="AJ41" s="112"/>
    </row>
    <row r="42" spans="1:37" x14ac:dyDescent="0.25">
      <c r="AJ42" s="112"/>
    </row>
  </sheetData>
  <sheetProtection algorithmName="SHA-512" hashValue="X/NYBwkpw7mBD5qvFAX9k0f+CK85nxY4QzPvCE9DX/2mIab37TUYXria9WAGujIUC1KjQWgj2s4NU6RlhoOKIA==" saltValue="LacWDsIP7YLtpB7yqH4hUw==" spinCount="100000" sheet="1" objects="1" scenarios="1" formatCells="0" formatColumns="0" formatRows="0" insertColumns="0" insertRows="0" deleteColumns="0" deleteRows="0" sort="0" autoFilter="0" pivotTables="0"/>
  <mergeCells count="1">
    <mergeCell ref="E4:G4"/>
  </mergeCells>
  <hyperlinks>
    <hyperlink ref="L17" r:id="rId1" xr:uid="{AB404755-D040-4364-8235-AAF89E805159}"/>
    <hyperlink ref="L19" r:id="rId2" xr:uid="{8EBE18F2-9560-492A-BA8B-D260C9DBB159}"/>
    <hyperlink ref="L18" r:id="rId3" xr:uid="{0C93B314-1FC9-4200-A2B2-C746A922B015}"/>
  </hyperlinks>
  <pageMargins left="0.7" right="0.7" top="0.75" bottom="0.75" header="0.3" footer="0.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9DBD131-9A94-474D-97A5-A4699023DBD3}">
          <x14:formula1>
            <xm:f>Hoja1!$D$2:$D$13</xm:f>
          </x14:formula1>
          <xm:sqref>D6</xm:sqref>
        </x14:dataValidation>
        <x14:dataValidation type="list" allowBlank="1" showInputMessage="1" showErrorMessage="1" xr:uid="{E0274FE0-22CE-447E-AF56-FB0BB1C77118}">
          <x14:formula1>
            <xm:f>Hoja1!$F$2:$F$4</xm:f>
          </x14:formula1>
          <xm:sqref>D10</xm:sqref>
        </x14:dataValidation>
        <x14:dataValidation type="list" allowBlank="1" showInputMessage="1" showErrorMessage="1" xr:uid="{32C08662-4B2D-44D0-8ACC-07B4CA219A4F}">
          <x14:formula1>
            <xm:f>Hoja1!$F$2:$F$3</xm:f>
          </x14:formula1>
          <xm:sqref>D11</xm:sqref>
        </x14:dataValidation>
        <x14:dataValidation type="list" allowBlank="1" showInputMessage="1" showErrorMessage="1" xr:uid="{CB958408-FAA6-49F5-A243-04D8BEAC1603}">
          <x14:formula1>
            <xm:f>Hoja1!$F$3:$F$4</xm:f>
          </x14:formula1>
          <xm:sqref>D12:D13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D79EB-0E15-4EFF-96A0-CC73D014E317}">
  <sheetPr codeName="Hoja5">
    <tabColor rgb="FFA3FFFF"/>
  </sheetPr>
  <dimension ref="A1:AL34"/>
  <sheetViews>
    <sheetView topLeftCell="A10" zoomScale="70" zoomScaleNormal="70" workbookViewId="0">
      <selection activeCell="J34" sqref="J34"/>
    </sheetView>
  </sheetViews>
  <sheetFormatPr baseColWidth="10" defaultColWidth="11.5703125" defaultRowHeight="15" x14ac:dyDescent="0.25"/>
  <cols>
    <col min="1" max="1" width="2.42578125" style="41" customWidth="1"/>
    <col min="2" max="2" width="6.140625" style="41" customWidth="1"/>
    <col min="3" max="3" width="13.7109375" style="41" customWidth="1"/>
    <col min="4" max="4" width="14" style="41" customWidth="1"/>
    <col min="5" max="5" width="17.7109375" style="41" customWidth="1"/>
    <col min="6" max="6" width="13.85546875" style="41" customWidth="1"/>
    <col min="7" max="7" width="14.28515625" style="41" customWidth="1"/>
    <col min="8" max="8" width="11.7109375" style="41" bestFit="1" customWidth="1"/>
    <col min="9" max="9" width="12" style="41" bestFit="1" customWidth="1"/>
    <col min="10" max="10" width="16.28515625" style="41" bestFit="1" customWidth="1"/>
    <col min="11" max="11" width="14.85546875" style="41" customWidth="1"/>
    <col min="12" max="12" width="12.85546875" style="41" bestFit="1" customWidth="1"/>
    <col min="13" max="13" width="13.7109375" style="41" customWidth="1"/>
    <col min="14" max="14" width="27.140625" style="41" customWidth="1"/>
    <col min="15" max="37" width="11.5703125" style="41"/>
    <col min="38" max="38" width="18.5703125" style="41" customWidth="1"/>
    <col min="39" max="16384" width="11.5703125" style="41"/>
  </cols>
  <sheetData>
    <row r="1" spans="1:38" ht="14.45" customHeight="1" x14ac:dyDescent="0.25">
      <c r="B1" s="41" t="s">
        <v>179</v>
      </c>
      <c r="D1" s="118" t="s">
        <v>183</v>
      </c>
      <c r="E1" s="42"/>
      <c r="F1" s="42"/>
      <c r="G1" s="42"/>
    </row>
    <row r="2" spans="1:38" ht="14.45" customHeight="1" x14ac:dyDescent="0.25">
      <c r="B2" s="41" t="s">
        <v>178</v>
      </c>
      <c r="D2" s="118" t="s">
        <v>189</v>
      </c>
      <c r="E2" s="42"/>
    </row>
    <row r="3" spans="1:38" x14ac:dyDescent="0.25">
      <c r="B3" s="41" t="s">
        <v>99</v>
      </c>
      <c r="D3" s="119" t="s">
        <v>98</v>
      </c>
    </row>
    <row r="4" spans="1:38" x14ac:dyDescent="0.25">
      <c r="B4" s="41" t="s">
        <v>5</v>
      </c>
      <c r="D4" s="48">
        <v>20602891683</v>
      </c>
      <c r="E4" s="234" t="s">
        <v>38</v>
      </c>
      <c r="F4" s="234"/>
      <c r="G4" s="234"/>
    </row>
    <row r="5" spans="1:38" x14ac:dyDescent="0.25">
      <c r="B5" s="41" t="s">
        <v>170</v>
      </c>
      <c r="D5" s="120">
        <v>2023</v>
      </c>
    </row>
    <row r="6" spans="1:38" x14ac:dyDescent="0.25">
      <c r="B6" s="41" t="s">
        <v>169</v>
      </c>
      <c r="D6" s="121" t="s">
        <v>171</v>
      </c>
    </row>
    <row r="7" spans="1:38" x14ac:dyDescent="0.25">
      <c r="B7" s="41" t="s">
        <v>173</v>
      </c>
      <c r="D7" s="122" t="s">
        <v>174</v>
      </c>
    </row>
    <row r="8" spans="1:38" x14ac:dyDescent="0.25">
      <c r="B8" s="41" t="s">
        <v>168</v>
      </c>
      <c r="D8" s="119">
        <v>140400</v>
      </c>
    </row>
    <row r="9" spans="1:38" x14ac:dyDescent="0.25">
      <c r="B9" s="41" t="s">
        <v>175</v>
      </c>
      <c r="D9" s="123" t="s">
        <v>198</v>
      </c>
      <c r="E9" s="41" t="s">
        <v>121</v>
      </c>
    </row>
    <row r="10" spans="1:38" ht="14.45" customHeight="1" x14ac:dyDescent="0.25">
      <c r="B10" s="124" t="s">
        <v>125</v>
      </c>
      <c r="C10" s="124"/>
      <c r="D10" s="120">
        <v>1</v>
      </c>
      <c r="E10" s="124" t="s">
        <v>232</v>
      </c>
    </row>
    <row r="11" spans="1:38" ht="14.45" customHeight="1" x14ac:dyDescent="0.25">
      <c r="B11" s="124" t="s">
        <v>131</v>
      </c>
      <c r="C11" s="124"/>
      <c r="D11" s="120">
        <v>1</v>
      </c>
      <c r="E11" s="124" t="s">
        <v>233</v>
      </c>
    </row>
    <row r="12" spans="1:38" ht="14.45" customHeight="1" x14ac:dyDescent="0.25">
      <c r="B12" s="124" t="s">
        <v>136</v>
      </c>
      <c r="C12" s="124"/>
      <c r="D12" s="120">
        <v>1</v>
      </c>
      <c r="E12" s="125" t="s">
        <v>234</v>
      </c>
    </row>
    <row r="13" spans="1:38" ht="14.45" customHeight="1" x14ac:dyDescent="0.25">
      <c r="B13" s="41" t="s">
        <v>167</v>
      </c>
      <c r="D13" s="126">
        <v>2</v>
      </c>
      <c r="E13" s="127" t="s">
        <v>141</v>
      </c>
    </row>
    <row r="14" spans="1:38" ht="22.15" customHeight="1" x14ac:dyDescent="0.25">
      <c r="B14" s="41" t="s">
        <v>190</v>
      </c>
      <c r="D14" s="141" t="s">
        <v>55</v>
      </c>
      <c r="E14" s="124" t="s">
        <v>193</v>
      </c>
    </row>
    <row r="15" spans="1:38" ht="14.45" customHeight="1" x14ac:dyDescent="0.25">
      <c r="D15" s="126"/>
      <c r="E15" s="127"/>
    </row>
    <row r="16" spans="1:38" ht="31.15" customHeight="1" x14ac:dyDescent="0.45">
      <c r="A16" s="59"/>
      <c r="B16" s="53"/>
      <c r="C16" s="53"/>
      <c r="D16" s="53"/>
      <c r="E16" s="53"/>
      <c r="F16" s="53"/>
      <c r="G16" s="180"/>
      <c r="H16" s="180"/>
      <c r="I16" s="180"/>
      <c r="J16" s="171"/>
      <c r="K16" s="173" t="s">
        <v>229</v>
      </c>
      <c r="L16" s="174" t="s">
        <v>230</v>
      </c>
      <c r="M16" s="171"/>
      <c r="N16" s="171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83"/>
      <c r="AA16" s="56"/>
      <c r="AB16" s="56"/>
      <c r="AC16" s="58"/>
      <c r="AD16" s="56"/>
      <c r="AE16" s="56"/>
      <c r="AF16" s="56"/>
      <c r="AG16" s="56"/>
      <c r="AH16" s="56"/>
      <c r="AI16" s="56"/>
      <c r="AJ16" s="56"/>
      <c r="AK16" s="56"/>
      <c r="AL16" s="56"/>
    </row>
    <row r="17" spans="1:38" ht="27" thickBot="1" x14ac:dyDescent="0.4">
      <c r="A17" s="59"/>
      <c r="B17" s="59"/>
      <c r="C17" s="149"/>
      <c r="D17" s="150"/>
      <c r="E17" s="59"/>
      <c r="F17" s="59"/>
      <c r="G17" s="181"/>
      <c r="H17" s="181"/>
      <c r="I17" s="181"/>
      <c r="J17" s="171"/>
      <c r="K17" s="173" t="s">
        <v>229</v>
      </c>
      <c r="L17" s="178" t="s">
        <v>228</v>
      </c>
      <c r="M17" s="171"/>
      <c r="N17" s="171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58"/>
      <c r="AD17" s="63"/>
      <c r="AE17" s="63"/>
      <c r="AF17" s="63"/>
      <c r="AG17" s="63"/>
      <c r="AH17" s="63"/>
      <c r="AI17" s="63"/>
      <c r="AJ17" s="63"/>
      <c r="AK17" s="63"/>
      <c r="AL17" s="63"/>
    </row>
    <row r="18" spans="1:38" ht="43.15" customHeight="1" thickBot="1" x14ac:dyDescent="0.3">
      <c r="A18" s="59"/>
      <c r="B18" s="59"/>
      <c r="C18" s="53"/>
      <c r="D18" s="53"/>
      <c r="E18" s="128"/>
      <c r="F18" s="128"/>
      <c r="G18" s="181"/>
      <c r="H18" s="182"/>
      <c r="I18" s="181"/>
      <c r="J18" s="171"/>
      <c r="K18" s="177" t="s">
        <v>224</v>
      </c>
      <c r="L18" s="178" t="s">
        <v>225</v>
      </c>
      <c r="M18" s="171"/>
      <c r="N18" s="171"/>
      <c r="O18" s="101" t="s">
        <v>18</v>
      </c>
      <c r="P18" s="102" t="s">
        <v>19</v>
      </c>
      <c r="Q18" s="103" t="s">
        <v>20</v>
      </c>
      <c r="R18" s="102" t="s">
        <v>21</v>
      </c>
      <c r="S18" s="103" t="s">
        <v>22</v>
      </c>
      <c r="T18" s="104" t="s">
        <v>23</v>
      </c>
      <c r="U18" s="104" t="s">
        <v>24</v>
      </c>
      <c r="V18" s="105" t="s">
        <v>25</v>
      </c>
      <c r="W18" s="106" t="s">
        <v>26</v>
      </c>
      <c r="X18" s="106" t="s">
        <v>27</v>
      </c>
      <c r="Y18" s="107" t="s">
        <v>28</v>
      </c>
      <c r="Z18" s="108" t="s">
        <v>29</v>
      </c>
      <c r="AA18" s="109" t="s">
        <v>30</v>
      </c>
      <c r="AB18" s="151"/>
      <c r="AC18" s="58"/>
      <c r="AD18" s="63"/>
      <c r="AE18" s="63"/>
      <c r="AF18" s="63"/>
      <c r="AG18" s="63"/>
      <c r="AH18" s="63"/>
      <c r="AI18" s="63"/>
      <c r="AJ18" s="63"/>
      <c r="AK18" s="63"/>
      <c r="AL18" s="63"/>
    </row>
    <row r="19" spans="1:38" ht="26.25" x14ac:dyDescent="0.25">
      <c r="A19" s="59"/>
      <c r="B19" s="59"/>
      <c r="C19" s="149"/>
      <c r="D19" s="150"/>
      <c r="E19" s="128"/>
      <c r="F19" s="128"/>
      <c r="G19" s="181"/>
      <c r="H19" s="182"/>
      <c r="I19" s="181"/>
      <c r="J19" s="169"/>
      <c r="K19" s="177" t="s">
        <v>226</v>
      </c>
      <c r="L19" s="178" t="s">
        <v>227</v>
      </c>
      <c r="M19" s="169"/>
      <c r="N19" s="169"/>
      <c r="O19" s="165">
        <f t="shared" ref="O19:AA19" si="0">+SUM(O27:O1048576)</f>
        <v>0</v>
      </c>
      <c r="P19" s="165">
        <f t="shared" si="0"/>
        <v>105.95</v>
      </c>
      <c r="Q19" s="165">
        <f t="shared" si="0"/>
        <v>0</v>
      </c>
      <c r="R19" s="165">
        <f t="shared" si="0"/>
        <v>19.05</v>
      </c>
      <c r="S19" s="165">
        <f t="shared" si="0"/>
        <v>0</v>
      </c>
      <c r="T19" s="165">
        <f t="shared" si="0"/>
        <v>0</v>
      </c>
      <c r="U19" s="165">
        <f t="shared" si="0"/>
        <v>0</v>
      </c>
      <c r="V19" s="165">
        <f t="shared" si="0"/>
        <v>0</v>
      </c>
      <c r="W19" s="165">
        <f t="shared" si="0"/>
        <v>0</v>
      </c>
      <c r="X19" s="165">
        <f t="shared" si="0"/>
        <v>0</v>
      </c>
      <c r="Y19" s="165">
        <f t="shared" si="0"/>
        <v>0</v>
      </c>
      <c r="Z19" s="165">
        <f t="shared" si="0"/>
        <v>0</v>
      </c>
      <c r="AA19" s="165">
        <f t="shared" si="0"/>
        <v>125</v>
      </c>
      <c r="AB19" s="152">
        <v>0</v>
      </c>
      <c r="AC19" s="58"/>
      <c r="AD19" s="63"/>
      <c r="AE19" s="63"/>
      <c r="AF19" s="63"/>
      <c r="AG19" s="63"/>
      <c r="AH19" s="63"/>
      <c r="AI19" s="63"/>
      <c r="AJ19" s="63"/>
      <c r="AK19" s="63"/>
      <c r="AL19" s="63"/>
    </row>
    <row r="20" spans="1:38" ht="26.25" x14ac:dyDescent="0.25">
      <c r="A20" s="53"/>
      <c r="B20" s="53"/>
      <c r="C20" s="149"/>
      <c r="D20" s="53"/>
      <c r="E20" s="53"/>
      <c r="F20" s="53"/>
      <c r="G20" s="185"/>
      <c r="H20" s="186"/>
      <c r="I20" s="180"/>
      <c r="J20" s="183"/>
      <c r="K20" s="180"/>
      <c r="L20" s="180"/>
      <c r="M20" s="180"/>
      <c r="N20" s="180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7" t="s">
        <v>1</v>
      </c>
      <c r="Z20" s="165">
        <f>+SUM(O19:Z19)</f>
        <v>125</v>
      </c>
      <c r="AA20" s="165">
        <f>+AA19</f>
        <v>125</v>
      </c>
      <c r="AB20" s="152">
        <v>0</v>
      </c>
      <c r="AC20" s="58"/>
      <c r="AD20" s="130"/>
      <c r="AE20" s="56"/>
      <c r="AF20" s="56"/>
      <c r="AG20" s="56"/>
      <c r="AH20" s="56"/>
      <c r="AI20" s="56"/>
      <c r="AJ20" s="56"/>
      <c r="AK20" s="63"/>
      <c r="AL20" s="63"/>
    </row>
    <row r="21" spans="1:38" ht="23.25" x14ac:dyDescent="0.35">
      <c r="A21" s="53"/>
      <c r="B21" s="76"/>
      <c r="C21" s="53"/>
      <c r="D21" s="53"/>
      <c r="E21" s="53"/>
      <c r="F21" s="53"/>
      <c r="G21" s="185"/>
      <c r="H21" s="185"/>
      <c r="I21" s="180"/>
      <c r="J21" s="180"/>
      <c r="K21" s="180"/>
      <c r="L21" s="180"/>
      <c r="M21" s="180"/>
      <c r="N21" s="180"/>
      <c r="O21" s="166"/>
      <c r="P21" s="166"/>
      <c r="Q21" s="166"/>
      <c r="R21" s="166"/>
      <c r="S21" s="166"/>
      <c r="T21" s="166"/>
      <c r="U21" s="166"/>
      <c r="V21" s="166"/>
      <c r="W21" s="166"/>
      <c r="X21" s="166"/>
      <c r="Y21" s="167" t="s">
        <v>43</v>
      </c>
      <c r="Z21" s="165">
        <f>+Z20-AA20</f>
        <v>0</v>
      </c>
      <c r="AA21" s="168"/>
      <c r="AB21" s="53"/>
      <c r="AC21" s="58"/>
      <c r="AD21" s="130"/>
      <c r="AE21" s="56"/>
      <c r="AF21" s="56"/>
      <c r="AG21" s="56"/>
      <c r="AH21" s="56"/>
      <c r="AI21" s="56"/>
      <c r="AJ21" s="56"/>
      <c r="AK21" s="63"/>
      <c r="AL21" s="63"/>
    </row>
    <row r="22" spans="1:38" ht="21.75" x14ac:dyDescent="0.35">
      <c r="A22" s="56"/>
      <c r="B22" s="153" t="s">
        <v>196</v>
      </c>
      <c r="C22" s="131"/>
      <c r="D22" s="131"/>
      <c r="E22" s="131"/>
      <c r="F22" s="131"/>
      <c r="G22" s="130"/>
      <c r="H22" s="129"/>
      <c r="I22" s="56"/>
      <c r="J22" s="58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83"/>
      <c r="AD22" s="130"/>
      <c r="AE22" s="56"/>
      <c r="AF22" s="56"/>
      <c r="AG22" s="56"/>
      <c r="AH22" s="56"/>
      <c r="AI22" s="56"/>
      <c r="AJ22" s="56"/>
      <c r="AK22" s="63"/>
      <c r="AL22" s="63"/>
    </row>
    <row r="23" spans="1:38" ht="21" x14ac:dyDescent="0.35">
      <c r="A23" s="85"/>
      <c r="B23" s="154" t="s">
        <v>166</v>
      </c>
      <c r="C23" s="133"/>
      <c r="D23" s="133"/>
      <c r="E23" s="133"/>
      <c r="F23" s="133"/>
      <c r="G23" s="134"/>
      <c r="H23" s="132"/>
      <c r="I23" s="90"/>
      <c r="J23" s="90"/>
      <c r="K23" s="90"/>
      <c r="L23" s="90"/>
      <c r="M23" s="90"/>
      <c r="N23" s="90"/>
      <c r="O23" s="90"/>
      <c r="P23" s="90"/>
      <c r="Q23" s="56"/>
      <c r="R23" s="90"/>
      <c r="S23" s="90"/>
      <c r="T23" s="90"/>
      <c r="U23" s="90"/>
      <c r="V23" s="90"/>
      <c r="W23" s="90"/>
      <c r="X23" s="90"/>
      <c r="Y23" s="90"/>
      <c r="Z23" s="89"/>
      <c r="AA23" s="90"/>
      <c r="AB23" s="90"/>
      <c r="AC23" s="90"/>
      <c r="AD23" s="135"/>
      <c r="AE23" s="90"/>
      <c r="AF23" s="90"/>
      <c r="AG23" s="90"/>
      <c r="AH23" s="90"/>
      <c r="AI23" s="90"/>
      <c r="AJ23" s="90"/>
      <c r="AK23" s="63"/>
      <c r="AL23" s="63"/>
    </row>
    <row r="24" spans="1:38" ht="45" customHeight="1" thickBot="1" x14ac:dyDescent="0.3">
      <c r="A24" s="85"/>
      <c r="B24" s="136"/>
      <c r="C24" s="136"/>
      <c r="D24" s="136"/>
      <c r="E24" s="136"/>
      <c r="F24" s="136"/>
      <c r="G24" s="134"/>
      <c r="H24" s="135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89"/>
      <c r="AA24" s="90"/>
      <c r="AB24" s="90"/>
      <c r="AC24" s="90"/>
      <c r="AD24" s="135"/>
      <c r="AE24" s="90"/>
      <c r="AF24" s="90"/>
      <c r="AG24" s="90"/>
      <c r="AH24" s="90"/>
      <c r="AI24" s="90"/>
      <c r="AJ24" s="90"/>
      <c r="AK24" s="56"/>
      <c r="AL24" s="56"/>
    </row>
    <row r="25" spans="1:38" ht="15.75" thickBot="1" x14ac:dyDescent="0.3">
      <c r="A25" s="85"/>
      <c r="B25" s="92" t="s">
        <v>2</v>
      </c>
      <c r="C25" s="92">
        <v>1</v>
      </c>
      <c r="D25" s="92">
        <v>2</v>
      </c>
      <c r="E25" s="92">
        <v>3</v>
      </c>
      <c r="F25" s="92">
        <v>4</v>
      </c>
      <c r="G25" s="92">
        <v>5</v>
      </c>
      <c r="H25" s="92">
        <v>6</v>
      </c>
      <c r="I25" s="92">
        <v>7</v>
      </c>
      <c r="J25" s="92">
        <v>8</v>
      </c>
      <c r="K25" s="92">
        <v>9</v>
      </c>
      <c r="L25" s="92">
        <v>10</v>
      </c>
      <c r="M25" s="92">
        <v>11</v>
      </c>
      <c r="N25" s="92">
        <v>12</v>
      </c>
      <c r="O25" s="92">
        <v>13</v>
      </c>
      <c r="P25" s="92">
        <v>14</v>
      </c>
      <c r="Q25" s="92">
        <v>15</v>
      </c>
      <c r="R25" s="92">
        <v>16</v>
      </c>
      <c r="S25" s="92">
        <v>17</v>
      </c>
      <c r="T25" s="92">
        <v>18</v>
      </c>
      <c r="U25" s="92">
        <v>19</v>
      </c>
      <c r="V25" s="92">
        <v>20</v>
      </c>
      <c r="W25" s="94">
        <v>21</v>
      </c>
      <c r="X25" s="94">
        <v>22</v>
      </c>
      <c r="Y25" s="92">
        <v>23</v>
      </c>
      <c r="Z25" s="92">
        <v>24</v>
      </c>
      <c r="AA25" s="94">
        <v>25</v>
      </c>
      <c r="AB25" s="92">
        <v>26</v>
      </c>
      <c r="AC25" s="92">
        <v>27</v>
      </c>
      <c r="AD25" s="92">
        <v>28</v>
      </c>
      <c r="AE25" s="92">
        <v>29</v>
      </c>
      <c r="AF25" s="92">
        <v>30</v>
      </c>
      <c r="AG25" s="92">
        <v>31</v>
      </c>
      <c r="AH25" s="92">
        <v>32</v>
      </c>
      <c r="AI25" s="92">
        <v>33</v>
      </c>
      <c r="AJ25" s="92">
        <v>34</v>
      </c>
      <c r="AK25" s="92">
        <v>35</v>
      </c>
      <c r="AL25" s="92" t="s">
        <v>46</v>
      </c>
    </row>
    <row r="26" spans="1:38" ht="75.75" thickBot="1" x14ac:dyDescent="0.3">
      <c r="A26" s="85"/>
      <c r="B26" s="95" t="s">
        <v>4</v>
      </c>
      <c r="C26" s="96" t="s">
        <v>47</v>
      </c>
      <c r="D26" s="96" t="s">
        <v>48</v>
      </c>
      <c r="E26" s="97" t="s">
        <v>49</v>
      </c>
      <c r="F26" s="100" t="s">
        <v>9</v>
      </c>
      <c r="G26" s="138" t="s">
        <v>10</v>
      </c>
      <c r="H26" s="138" t="s">
        <v>11</v>
      </c>
      <c r="I26" s="100" t="s">
        <v>12</v>
      </c>
      <c r="J26" s="100" t="s">
        <v>13</v>
      </c>
      <c r="K26" s="100" t="s">
        <v>14</v>
      </c>
      <c r="L26" s="100" t="s">
        <v>15</v>
      </c>
      <c r="M26" s="100" t="s">
        <v>16</v>
      </c>
      <c r="N26" s="100" t="s">
        <v>17</v>
      </c>
      <c r="O26" s="101" t="s">
        <v>18</v>
      </c>
      <c r="P26" s="102" t="s">
        <v>19</v>
      </c>
      <c r="Q26" s="103" t="s">
        <v>20</v>
      </c>
      <c r="R26" s="102" t="s">
        <v>21</v>
      </c>
      <c r="S26" s="103" t="s">
        <v>22</v>
      </c>
      <c r="T26" s="104" t="s">
        <v>23</v>
      </c>
      <c r="U26" s="104" t="s">
        <v>24</v>
      </c>
      <c r="V26" s="105" t="s">
        <v>25</v>
      </c>
      <c r="W26" s="106" t="s">
        <v>26</v>
      </c>
      <c r="X26" s="106" t="s">
        <v>27</v>
      </c>
      <c r="Y26" s="107" t="s">
        <v>28</v>
      </c>
      <c r="Z26" s="108" t="s">
        <v>29</v>
      </c>
      <c r="AA26" s="109" t="s">
        <v>30</v>
      </c>
      <c r="AB26" s="110" t="s">
        <v>31</v>
      </c>
      <c r="AC26" s="155" t="s">
        <v>32</v>
      </c>
      <c r="AD26" s="139" t="s">
        <v>33</v>
      </c>
      <c r="AE26" s="110" t="s">
        <v>34</v>
      </c>
      <c r="AF26" s="110" t="s">
        <v>35</v>
      </c>
      <c r="AG26" s="110" t="s">
        <v>36</v>
      </c>
      <c r="AH26" s="110" t="s">
        <v>37</v>
      </c>
      <c r="AI26" s="156" t="s">
        <v>50</v>
      </c>
      <c r="AJ26" s="157" t="s">
        <v>51</v>
      </c>
      <c r="AK26" s="158" t="s">
        <v>219</v>
      </c>
      <c r="AL26" s="110" t="s">
        <v>202</v>
      </c>
    </row>
    <row r="27" spans="1:38" x14ac:dyDescent="0.25">
      <c r="A27" s="1"/>
      <c r="B27" s="2">
        <v>1</v>
      </c>
      <c r="C27" s="4" t="s">
        <v>242</v>
      </c>
      <c r="D27" s="4" t="s">
        <v>53</v>
      </c>
      <c r="E27" s="4" t="s">
        <v>54</v>
      </c>
      <c r="F27" s="140" t="s">
        <v>243</v>
      </c>
      <c r="G27" s="140"/>
      <c r="H27" s="32" t="s">
        <v>55</v>
      </c>
      <c r="I27" s="32" t="s">
        <v>56</v>
      </c>
      <c r="J27" s="32">
        <v>100</v>
      </c>
      <c r="K27" s="6"/>
      <c r="L27" s="112">
        <v>6</v>
      </c>
      <c r="M27" s="112">
        <v>20334129595</v>
      </c>
      <c r="N27" s="3" t="s">
        <v>44</v>
      </c>
      <c r="O27" s="36"/>
      <c r="P27" s="113">
        <v>21.19</v>
      </c>
      <c r="Q27" s="7"/>
      <c r="R27" s="113">
        <v>3.81</v>
      </c>
      <c r="S27" s="7"/>
      <c r="T27" s="7"/>
      <c r="U27" s="7"/>
      <c r="V27" s="7"/>
      <c r="W27" s="7"/>
      <c r="X27" s="7"/>
      <c r="Y27" s="37"/>
      <c r="Z27" s="37"/>
      <c r="AA27" s="113">
        <v>25</v>
      </c>
      <c r="AB27" s="6" t="s">
        <v>41</v>
      </c>
      <c r="AC27" s="114"/>
      <c r="AD27" s="40"/>
      <c r="AE27" s="33"/>
      <c r="AF27" s="3"/>
      <c r="AG27" s="3"/>
      <c r="AH27" s="3"/>
      <c r="AI27" s="3"/>
      <c r="AJ27" s="4" t="s">
        <v>57</v>
      </c>
      <c r="AK27" s="8" t="s">
        <v>76</v>
      </c>
      <c r="AL27" s="1"/>
    </row>
    <row r="28" spans="1:38" x14ac:dyDescent="0.25">
      <c r="A28" s="1"/>
      <c r="B28" s="2">
        <v>2</v>
      </c>
      <c r="C28" s="4" t="s">
        <v>242</v>
      </c>
      <c r="D28" s="4" t="s">
        <v>60</v>
      </c>
      <c r="E28" s="4" t="s">
        <v>65</v>
      </c>
      <c r="F28" s="40">
        <v>44849</v>
      </c>
      <c r="G28" s="40"/>
      <c r="H28" s="32" t="s">
        <v>55</v>
      </c>
      <c r="I28" s="32" t="s">
        <v>56</v>
      </c>
      <c r="J28" s="32">
        <v>101</v>
      </c>
      <c r="K28" s="6"/>
      <c r="L28" s="112">
        <v>6</v>
      </c>
      <c r="M28" s="112">
        <v>20122746292</v>
      </c>
      <c r="N28" s="3" t="s">
        <v>72</v>
      </c>
      <c r="O28" s="7"/>
      <c r="P28" s="113">
        <v>21.19</v>
      </c>
      <c r="Q28" s="7"/>
      <c r="R28" s="113">
        <v>3.81</v>
      </c>
      <c r="S28" s="7"/>
      <c r="T28" s="7"/>
      <c r="U28" s="7"/>
      <c r="V28" s="7"/>
      <c r="W28" s="7"/>
      <c r="X28" s="7"/>
      <c r="Y28" s="37"/>
      <c r="Z28" s="37"/>
      <c r="AA28" s="113">
        <v>25</v>
      </c>
      <c r="AB28" s="6" t="s">
        <v>74</v>
      </c>
      <c r="AC28" s="114">
        <v>3.08</v>
      </c>
      <c r="AD28" s="40"/>
      <c r="AE28" s="33"/>
      <c r="AF28" s="3"/>
      <c r="AG28" s="3"/>
      <c r="AH28" s="3"/>
      <c r="AI28" s="3"/>
      <c r="AJ28" s="4" t="s">
        <v>57</v>
      </c>
      <c r="AK28" s="8" t="s">
        <v>76</v>
      </c>
      <c r="AL28" s="1"/>
    </row>
    <row r="29" spans="1:38" x14ac:dyDescent="0.25">
      <c r="A29" s="1"/>
      <c r="B29" s="2">
        <v>3</v>
      </c>
      <c r="C29" s="4" t="s">
        <v>242</v>
      </c>
      <c r="D29" s="4" t="s">
        <v>61</v>
      </c>
      <c r="E29" s="4" t="s">
        <v>66</v>
      </c>
      <c r="F29" s="40">
        <v>44849</v>
      </c>
      <c r="G29" s="40"/>
      <c r="H29" s="32" t="s">
        <v>55</v>
      </c>
      <c r="I29" s="32" t="s">
        <v>56</v>
      </c>
      <c r="J29" s="32">
        <v>102</v>
      </c>
      <c r="K29" s="6"/>
      <c r="L29" s="112">
        <v>6</v>
      </c>
      <c r="M29" s="112">
        <v>20378157138</v>
      </c>
      <c r="N29" s="3" t="s">
        <v>45</v>
      </c>
      <c r="O29" s="7"/>
      <c r="P29" s="113">
        <v>21.19</v>
      </c>
      <c r="Q29" s="7"/>
      <c r="R29" s="113">
        <v>3.81</v>
      </c>
      <c r="S29" s="7"/>
      <c r="T29" s="7"/>
      <c r="U29" s="7"/>
      <c r="V29" s="7"/>
      <c r="W29" s="7"/>
      <c r="X29" s="7"/>
      <c r="Y29" s="37"/>
      <c r="Z29" s="37"/>
      <c r="AA29" s="113">
        <v>25</v>
      </c>
      <c r="AB29" s="6" t="s">
        <v>41</v>
      </c>
      <c r="AC29" s="114"/>
      <c r="AD29" s="40"/>
      <c r="AE29" s="33"/>
      <c r="AF29" s="3"/>
      <c r="AG29" s="3"/>
      <c r="AH29" s="3"/>
      <c r="AI29" s="3"/>
      <c r="AJ29" s="4" t="s">
        <v>57</v>
      </c>
      <c r="AK29" s="8" t="s">
        <v>76</v>
      </c>
      <c r="AL29" s="1" t="s">
        <v>220</v>
      </c>
    </row>
    <row r="30" spans="1:38" x14ac:dyDescent="0.25">
      <c r="A30" s="1"/>
      <c r="B30" s="2">
        <v>4</v>
      </c>
      <c r="C30" s="4" t="s">
        <v>242</v>
      </c>
      <c r="D30" s="4" t="s">
        <v>62</v>
      </c>
      <c r="E30" s="4" t="s">
        <v>67</v>
      </c>
      <c r="F30" s="40">
        <v>44849</v>
      </c>
      <c r="G30" s="40"/>
      <c r="H30" s="32" t="s">
        <v>39</v>
      </c>
      <c r="I30" s="32" t="s">
        <v>40</v>
      </c>
      <c r="J30" s="32">
        <v>384</v>
      </c>
      <c r="K30" s="6"/>
      <c r="L30" s="112">
        <v>1</v>
      </c>
      <c r="M30" s="112">
        <v>76789887</v>
      </c>
      <c r="N30" s="3" t="s">
        <v>73</v>
      </c>
      <c r="O30" s="7"/>
      <c r="P30" s="113">
        <v>21.19</v>
      </c>
      <c r="Q30" s="7"/>
      <c r="R30" s="113">
        <v>3.81</v>
      </c>
      <c r="S30" s="7"/>
      <c r="T30" s="7"/>
      <c r="U30" s="7"/>
      <c r="V30" s="7"/>
      <c r="W30" s="7"/>
      <c r="X30" s="7"/>
      <c r="Y30" s="37"/>
      <c r="Z30" s="37"/>
      <c r="AA30" s="113">
        <v>25</v>
      </c>
      <c r="AB30" s="6" t="s">
        <v>41</v>
      </c>
      <c r="AC30" s="114"/>
      <c r="AD30" s="40"/>
      <c r="AE30" s="33"/>
      <c r="AF30" s="3"/>
      <c r="AG30" s="3"/>
      <c r="AH30" s="3"/>
      <c r="AI30" s="3"/>
      <c r="AJ30" s="4" t="s">
        <v>57</v>
      </c>
      <c r="AK30" s="8" t="s">
        <v>59</v>
      </c>
      <c r="AL30" s="1"/>
    </row>
    <row r="31" spans="1:38" x14ac:dyDescent="0.25">
      <c r="A31" s="1"/>
      <c r="B31" s="2">
        <v>5</v>
      </c>
      <c r="C31" s="4" t="s">
        <v>242</v>
      </c>
      <c r="D31" s="4" t="s">
        <v>63</v>
      </c>
      <c r="E31" s="4" t="s">
        <v>68</v>
      </c>
      <c r="F31" s="40">
        <v>44849</v>
      </c>
      <c r="G31" s="40"/>
      <c r="H31" s="32" t="s">
        <v>39</v>
      </c>
      <c r="I31" s="32" t="s">
        <v>40</v>
      </c>
      <c r="J31" s="32">
        <v>385</v>
      </c>
      <c r="K31" s="32" t="s">
        <v>215</v>
      </c>
      <c r="L31" s="112"/>
      <c r="M31" s="112"/>
      <c r="N31" s="3"/>
      <c r="O31" s="7"/>
      <c r="P31" s="113">
        <v>21.19</v>
      </c>
      <c r="Q31" s="7"/>
      <c r="R31" s="113">
        <v>3.81</v>
      </c>
      <c r="S31" s="7"/>
      <c r="T31" s="7"/>
      <c r="U31" s="7"/>
      <c r="V31" s="7"/>
      <c r="W31" s="7"/>
      <c r="X31" s="7"/>
      <c r="Y31" s="37"/>
      <c r="Z31" s="37"/>
      <c r="AA31" s="113">
        <v>25</v>
      </c>
      <c r="AB31" s="6" t="s">
        <v>41</v>
      </c>
      <c r="AC31" s="114"/>
      <c r="AD31" s="40"/>
      <c r="AE31" s="33"/>
      <c r="AF31" s="3"/>
      <c r="AG31" s="3"/>
      <c r="AH31" s="3"/>
      <c r="AI31" s="3"/>
      <c r="AJ31" s="4" t="s">
        <v>57</v>
      </c>
      <c r="AK31" s="8" t="s">
        <v>76</v>
      </c>
      <c r="AL31" s="1"/>
    </row>
    <row r="32" spans="1:38" x14ac:dyDescent="0.25">
      <c r="B32" s="2">
        <v>6</v>
      </c>
      <c r="C32" s="4" t="s">
        <v>242</v>
      </c>
      <c r="D32" s="4" t="s">
        <v>64</v>
      </c>
      <c r="E32" s="4" t="s">
        <v>69</v>
      </c>
      <c r="F32" s="40">
        <v>44849</v>
      </c>
      <c r="G32" s="40"/>
      <c r="H32" s="32" t="s">
        <v>70</v>
      </c>
      <c r="I32" s="32" t="s">
        <v>56</v>
      </c>
      <c r="J32" s="32">
        <v>2</v>
      </c>
      <c r="K32" s="32"/>
      <c r="L32" s="112">
        <v>6</v>
      </c>
      <c r="M32" s="112">
        <v>20334129595</v>
      </c>
      <c r="N32" s="3" t="s">
        <v>44</v>
      </c>
      <c r="O32" s="7"/>
      <c r="P32" s="113">
        <v>-21.19</v>
      </c>
      <c r="Q32" s="7"/>
      <c r="R32" s="113">
        <v>-3.81</v>
      </c>
      <c r="S32" s="7"/>
      <c r="T32" s="7"/>
      <c r="U32" s="7"/>
      <c r="V32" s="7"/>
      <c r="W32" s="7"/>
      <c r="X32" s="7"/>
      <c r="Y32" s="37"/>
      <c r="Z32" s="37"/>
      <c r="AA32" s="113">
        <v>-25</v>
      </c>
      <c r="AB32" s="6" t="s">
        <v>41</v>
      </c>
      <c r="AC32" s="114"/>
      <c r="AD32" s="111" t="s">
        <v>244</v>
      </c>
      <c r="AE32" s="32" t="s">
        <v>55</v>
      </c>
      <c r="AF32" s="116" t="s">
        <v>213</v>
      </c>
      <c r="AG32" s="41">
        <v>100</v>
      </c>
      <c r="AH32" s="3"/>
      <c r="AI32" s="3"/>
      <c r="AJ32" s="4" t="s">
        <v>57</v>
      </c>
      <c r="AK32" s="8" t="s">
        <v>59</v>
      </c>
      <c r="AL32" s="1"/>
    </row>
    <row r="33" spans="2:37" x14ac:dyDescent="0.25">
      <c r="B33" s="2">
        <v>7</v>
      </c>
      <c r="C33" s="4" t="s">
        <v>242</v>
      </c>
      <c r="D33" s="4" t="s">
        <v>222</v>
      </c>
      <c r="E33" s="4" t="s">
        <v>221</v>
      </c>
      <c r="F33" s="40">
        <v>44849</v>
      </c>
      <c r="G33" s="40"/>
      <c r="H33" s="32" t="s">
        <v>71</v>
      </c>
      <c r="I33" s="32" t="s">
        <v>56</v>
      </c>
      <c r="J33" s="32">
        <v>3</v>
      </c>
      <c r="K33" s="32"/>
      <c r="L33" s="112">
        <v>6</v>
      </c>
      <c r="M33" s="112">
        <v>20378157138</v>
      </c>
      <c r="N33" s="3" t="s">
        <v>45</v>
      </c>
      <c r="O33" s="38"/>
      <c r="P33" s="113">
        <v>21.19</v>
      </c>
      <c r="Q33" s="7"/>
      <c r="R33" s="113">
        <v>3.81</v>
      </c>
      <c r="S33" s="7"/>
      <c r="T33" s="7"/>
      <c r="U33" s="7"/>
      <c r="V33" s="7"/>
      <c r="W33" s="7"/>
      <c r="X33" s="7"/>
      <c r="Y33" s="37"/>
      <c r="Z33" s="37"/>
      <c r="AA33" s="113">
        <v>25</v>
      </c>
      <c r="AB33" s="6" t="s">
        <v>41</v>
      </c>
      <c r="AC33" s="114"/>
      <c r="AD33" s="115">
        <v>44571</v>
      </c>
      <c r="AE33" s="32" t="s">
        <v>55</v>
      </c>
      <c r="AF33" s="116" t="s">
        <v>213</v>
      </c>
      <c r="AG33" s="41">
        <v>65</v>
      </c>
      <c r="AJ33" s="1">
        <v>1</v>
      </c>
      <c r="AK33" s="2">
        <v>9</v>
      </c>
    </row>
    <row r="34" spans="2:37" x14ac:dyDescent="0.25">
      <c r="F34" s="40"/>
    </row>
  </sheetData>
  <sheetProtection algorithmName="SHA-512" hashValue="95NZr/qMMgaNCJkCsZ2cvs3oVY4fymYpOCgdR4A3aSvPOIcJude/e4AsGZD9Z09m0IPDYTthY4cRaLiy6Z14pg==" saltValue="xHlU+KiRYM68IkCGDC02JA==" spinCount="100000" sheet="1" objects="1" scenarios="1" formatCells="0" formatColumns="0" formatRows="0" insertColumns="0" insertRows="0" deleteColumns="0" deleteRows="0" sort="0" autoFilter="0" pivotTables="0"/>
  <mergeCells count="1">
    <mergeCell ref="E4:G4"/>
  </mergeCells>
  <phoneticPr fontId="26" type="noConversion"/>
  <hyperlinks>
    <hyperlink ref="L17" r:id="rId1" xr:uid="{C307887A-5A2A-42C5-A03E-46A920BBB048}"/>
    <hyperlink ref="L19" r:id="rId2" xr:uid="{BD88BCAC-0E42-4DD8-8EE9-8609245C0DD9}"/>
    <hyperlink ref="L18" r:id="rId3" xr:uid="{673C45AC-71D4-4BEF-A843-DF164760280E}"/>
  </hyperlinks>
  <pageMargins left="0.7" right="0.7" top="0.75" bottom="0.75" header="0.3" footer="0.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7EE35D3-A723-4C2A-8366-DC152E705F78}">
          <x14:formula1>
            <xm:f>Hoja1!$D$2:$D$13</xm:f>
          </x14:formula1>
          <xm:sqref>D6</xm:sqref>
        </x14:dataValidation>
        <x14:dataValidation type="list" allowBlank="1" showInputMessage="1" showErrorMessage="1" xr:uid="{5F7AEEB1-15AF-4DB6-B62E-101CDD7EE685}">
          <x14:formula1>
            <xm:f>Hoja1!$F$2:$F$4</xm:f>
          </x14:formula1>
          <xm:sqref>D10</xm:sqref>
        </x14:dataValidation>
        <x14:dataValidation type="list" allowBlank="1" showInputMessage="1" showErrorMessage="1" xr:uid="{1E231E51-EA75-4ACF-A137-0F6B353A9FEC}">
          <x14:formula1>
            <xm:f>Hoja1!$F$2:$F$3</xm:f>
          </x14:formula1>
          <xm:sqref>D11</xm:sqref>
        </x14:dataValidation>
        <x14:dataValidation type="list" allowBlank="1" showInputMessage="1" showErrorMessage="1" xr:uid="{E2DB4A54-B31F-40FA-9D15-E996936CCF3F}">
          <x14:formula1>
            <xm:f>Hoja1!$F$3:$F$4</xm:f>
          </x14:formula1>
          <xm:sqref>D12:D13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05AC5-9DDA-4BB5-9656-0E6DFDCD6103}">
  <sheetPr codeName="Hoja6">
    <tabColor rgb="FFA3FFFF"/>
  </sheetPr>
  <dimension ref="A1:AC33"/>
  <sheetViews>
    <sheetView topLeftCell="A10" zoomScale="70" zoomScaleNormal="70" workbookViewId="0">
      <selection activeCell="N29" sqref="N29"/>
    </sheetView>
  </sheetViews>
  <sheetFormatPr baseColWidth="10" defaultColWidth="11.5703125" defaultRowHeight="15" x14ac:dyDescent="0.25"/>
  <cols>
    <col min="1" max="1" width="2.42578125" style="41" customWidth="1"/>
    <col min="2" max="2" width="6.140625" style="41" customWidth="1"/>
    <col min="3" max="3" width="13.7109375" style="41" customWidth="1"/>
    <col min="4" max="4" width="14" style="41" customWidth="1"/>
    <col min="5" max="5" width="17.7109375" style="41" customWidth="1"/>
    <col min="6" max="7" width="14.42578125" style="41" customWidth="1"/>
    <col min="8" max="8" width="11.7109375" style="41" bestFit="1" customWidth="1"/>
    <col min="9" max="9" width="12" style="41" bestFit="1" customWidth="1"/>
    <col min="10" max="10" width="16.28515625" style="41" bestFit="1" customWidth="1"/>
    <col min="11" max="11" width="16.7109375" style="41" customWidth="1"/>
    <col min="12" max="12" width="12.85546875" style="41" bestFit="1" customWidth="1"/>
    <col min="13" max="13" width="13.7109375" style="41" customWidth="1"/>
    <col min="14" max="14" width="27.140625" style="41" customWidth="1"/>
    <col min="15" max="26" width="11.5703125" style="41"/>
    <col min="27" max="27" width="13.85546875" style="41" customWidth="1"/>
    <col min="28" max="28" width="11.5703125" style="41"/>
    <col min="29" max="29" width="18.85546875" style="41" customWidth="1"/>
    <col min="30" max="16384" width="11.5703125" style="41"/>
  </cols>
  <sheetData>
    <row r="1" spans="1:29" ht="14.45" customHeight="1" x14ac:dyDescent="0.25">
      <c r="B1" s="41" t="s">
        <v>179</v>
      </c>
      <c r="D1" s="118" t="s">
        <v>188</v>
      </c>
      <c r="E1" s="42"/>
      <c r="F1" s="42"/>
      <c r="G1" s="42"/>
    </row>
    <row r="2" spans="1:29" ht="14.45" customHeight="1" x14ac:dyDescent="0.25">
      <c r="B2" s="41" t="s">
        <v>178</v>
      </c>
      <c r="D2" s="118" t="s">
        <v>192</v>
      </c>
      <c r="E2" s="42"/>
    </row>
    <row r="3" spans="1:29" x14ac:dyDescent="0.25">
      <c r="B3" s="41" t="s">
        <v>99</v>
      </c>
      <c r="D3" s="119" t="s">
        <v>98</v>
      </c>
    </row>
    <row r="4" spans="1:29" x14ac:dyDescent="0.25">
      <c r="B4" s="41" t="s">
        <v>5</v>
      </c>
      <c r="D4" s="48" t="s">
        <v>212</v>
      </c>
      <c r="E4" s="234" t="s">
        <v>38</v>
      </c>
      <c r="F4" s="234"/>
      <c r="G4" s="234"/>
    </row>
    <row r="5" spans="1:29" x14ac:dyDescent="0.25">
      <c r="B5" s="41" t="s">
        <v>170</v>
      </c>
      <c r="D5" s="120">
        <v>2023</v>
      </c>
    </row>
    <row r="6" spans="1:29" x14ac:dyDescent="0.25">
      <c r="B6" s="41" t="s">
        <v>169</v>
      </c>
      <c r="D6" s="121" t="s">
        <v>171</v>
      </c>
    </row>
    <row r="7" spans="1:29" x14ac:dyDescent="0.25">
      <c r="B7" s="41" t="s">
        <v>173</v>
      </c>
      <c r="D7" s="122" t="s">
        <v>174</v>
      </c>
    </row>
    <row r="8" spans="1:29" x14ac:dyDescent="0.25">
      <c r="B8" s="41" t="s">
        <v>168</v>
      </c>
      <c r="D8" s="119">
        <v>140400</v>
      </c>
    </row>
    <row r="9" spans="1:29" x14ac:dyDescent="0.25">
      <c r="B9" s="41" t="s">
        <v>175</v>
      </c>
      <c r="D9" s="123" t="s">
        <v>171</v>
      </c>
      <c r="E9" s="41" t="s">
        <v>122</v>
      </c>
    </row>
    <row r="10" spans="1:29" ht="14.45" customHeight="1" x14ac:dyDescent="0.25">
      <c r="B10" s="124" t="s">
        <v>125</v>
      </c>
      <c r="C10" s="124"/>
      <c r="D10" s="120">
        <v>1</v>
      </c>
      <c r="E10" s="124" t="s">
        <v>232</v>
      </c>
    </row>
    <row r="11" spans="1:29" ht="14.45" customHeight="1" x14ac:dyDescent="0.25">
      <c r="B11" s="124" t="s">
        <v>131</v>
      </c>
      <c r="C11" s="124"/>
      <c r="D11" s="120">
        <v>1</v>
      </c>
      <c r="E11" s="124" t="s">
        <v>233</v>
      </c>
    </row>
    <row r="12" spans="1:29" ht="14.45" customHeight="1" x14ac:dyDescent="0.25">
      <c r="B12" s="124" t="s">
        <v>136</v>
      </c>
      <c r="C12" s="124"/>
      <c r="D12" s="120">
        <v>1</v>
      </c>
      <c r="E12" s="125" t="s">
        <v>234</v>
      </c>
    </row>
    <row r="13" spans="1:29" ht="14.45" customHeight="1" x14ac:dyDescent="0.25">
      <c r="B13" s="41" t="s">
        <v>167</v>
      </c>
      <c r="D13" s="119">
        <v>2</v>
      </c>
      <c r="E13" s="127" t="s">
        <v>141</v>
      </c>
    </row>
    <row r="14" spans="1:29" ht="14.45" customHeight="1" x14ac:dyDescent="0.25">
      <c r="B14" s="41" t="s">
        <v>190</v>
      </c>
      <c r="D14" s="141" t="s">
        <v>55</v>
      </c>
      <c r="E14" s="124" t="s">
        <v>193</v>
      </c>
    </row>
    <row r="15" spans="1:29" ht="14.45" customHeight="1" x14ac:dyDescent="0.25">
      <c r="D15" s="126"/>
      <c r="E15" s="127"/>
    </row>
    <row r="16" spans="1:29" ht="31.9" customHeight="1" x14ac:dyDescent="0.45">
      <c r="A16" s="59"/>
      <c r="B16" s="53"/>
      <c r="C16" s="53"/>
      <c r="D16" s="53"/>
      <c r="E16" s="53"/>
      <c r="F16" s="180"/>
      <c r="G16" s="180"/>
      <c r="H16" s="180"/>
      <c r="I16" s="180"/>
      <c r="J16" s="171"/>
      <c r="K16" s="173" t="s">
        <v>229</v>
      </c>
      <c r="L16" s="174" t="s">
        <v>230</v>
      </c>
      <c r="M16" s="171"/>
      <c r="N16" s="180"/>
      <c r="O16" s="56"/>
      <c r="P16" s="56"/>
      <c r="Q16" s="56"/>
      <c r="R16" s="83"/>
      <c r="S16" s="56"/>
      <c r="T16" s="56"/>
      <c r="U16" s="58"/>
      <c r="V16" s="56"/>
      <c r="W16" s="56"/>
      <c r="X16" s="56"/>
      <c r="Y16" s="56"/>
      <c r="Z16" s="56"/>
      <c r="AA16" s="56"/>
      <c r="AB16" s="56"/>
      <c r="AC16" s="56"/>
    </row>
    <row r="17" spans="1:29" ht="27" thickBot="1" x14ac:dyDescent="0.4">
      <c r="A17" s="59"/>
      <c r="B17" s="59"/>
      <c r="C17" s="149"/>
      <c r="D17" s="150"/>
      <c r="E17" s="59"/>
      <c r="F17" s="181"/>
      <c r="G17" s="181"/>
      <c r="H17" s="181"/>
      <c r="I17" s="181"/>
      <c r="J17" s="171"/>
      <c r="K17" s="173" t="s">
        <v>229</v>
      </c>
      <c r="L17" s="178" t="s">
        <v>228</v>
      </c>
      <c r="M17" s="171"/>
      <c r="N17" s="181"/>
      <c r="O17" s="63"/>
      <c r="P17" s="63"/>
      <c r="Q17" s="63"/>
      <c r="R17" s="63"/>
      <c r="S17" s="63"/>
      <c r="T17" s="63"/>
      <c r="U17" s="58"/>
      <c r="V17" s="63"/>
      <c r="W17" s="63"/>
      <c r="X17" s="63"/>
      <c r="Y17" s="63"/>
      <c r="Z17" s="63"/>
      <c r="AA17" s="63"/>
      <c r="AB17" s="63"/>
      <c r="AC17" s="63"/>
    </row>
    <row r="18" spans="1:29" ht="43.15" customHeight="1" thickBot="1" x14ac:dyDescent="0.3">
      <c r="A18" s="59"/>
      <c r="B18" s="59"/>
      <c r="C18" s="53"/>
      <c r="D18" s="53"/>
      <c r="E18" s="128"/>
      <c r="F18" s="182"/>
      <c r="G18" s="181"/>
      <c r="H18" s="182"/>
      <c r="I18" s="181"/>
      <c r="J18" s="171"/>
      <c r="K18" s="177" t="s">
        <v>224</v>
      </c>
      <c r="L18" s="178" t="s">
        <v>225</v>
      </c>
      <c r="M18" s="171"/>
      <c r="N18" s="181"/>
      <c r="O18" s="102" t="s">
        <v>19</v>
      </c>
      <c r="P18" s="102" t="s">
        <v>21</v>
      </c>
      <c r="Q18" s="107" t="s">
        <v>28</v>
      </c>
      <c r="R18" s="108" t="s">
        <v>29</v>
      </c>
      <c r="S18" s="109" t="s">
        <v>30</v>
      </c>
      <c r="T18" s="151"/>
      <c r="U18" s="58"/>
      <c r="V18" s="63"/>
      <c r="W18" s="63"/>
      <c r="X18" s="63"/>
      <c r="Y18" s="63"/>
      <c r="Z18" s="63"/>
      <c r="AA18" s="63"/>
      <c r="AB18" s="63"/>
      <c r="AC18" s="63"/>
    </row>
    <row r="19" spans="1:29" ht="26.25" x14ac:dyDescent="0.25">
      <c r="A19" s="59"/>
      <c r="B19" s="59"/>
      <c r="C19" s="149"/>
      <c r="D19" s="150"/>
      <c r="E19" s="128"/>
      <c r="F19" s="182"/>
      <c r="G19" s="181"/>
      <c r="H19" s="182"/>
      <c r="I19" s="181"/>
      <c r="J19" s="169"/>
      <c r="K19" s="177" t="s">
        <v>226</v>
      </c>
      <c r="L19" s="178" t="s">
        <v>227</v>
      </c>
      <c r="M19" s="169"/>
      <c r="N19" s="181"/>
      <c r="O19" s="165">
        <f>+SUM(O27:O1048576)</f>
        <v>105.95</v>
      </c>
      <c r="P19" s="165">
        <f>+SUM(P27:P1048576)</f>
        <v>19.05</v>
      </c>
      <c r="Q19" s="165">
        <f>+SUM(Q27:Q1048576)</f>
        <v>0</v>
      </c>
      <c r="R19" s="165">
        <f>+SUM(R27:R1048576)</f>
        <v>0</v>
      </c>
      <c r="S19" s="165">
        <f>+SUM(S27:S1048576)</f>
        <v>125</v>
      </c>
      <c r="T19" s="152">
        <v>0</v>
      </c>
      <c r="U19" s="58"/>
      <c r="V19" s="63"/>
      <c r="W19" s="63"/>
      <c r="X19" s="63"/>
      <c r="Y19" s="63"/>
      <c r="Z19" s="63"/>
      <c r="AA19" s="63"/>
      <c r="AB19" s="63"/>
      <c r="AC19" s="63"/>
    </row>
    <row r="20" spans="1:29" ht="26.25" x14ac:dyDescent="0.25">
      <c r="A20" s="53"/>
      <c r="B20" s="53"/>
      <c r="C20" s="149"/>
      <c r="D20" s="53"/>
      <c r="E20" s="53"/>
      <c r="F20" s="185"/>
      <c r="G20" s="185"/>
      <c r="H20" s="183"/>
      <c r="I20" s="180"/>
      <c r="J20" s="183"/>
      <c r="K20" s="180"/>
      <c r="L20" s="180"/>
      <c r="M20" s="180"/>
      <c r="N20" s="180"/>
      <c r="O20" s="166"/>
      <c r="P20" s="166"/>
      <c r="Q20" s="167" t="s">
        <v>1</v>
      </c>
      <c r="R20" s="165">
        <f>+SUM(O19:R19)</f>
        <v>125</v>
      </c>
      <c r="S20" s="165">
        <f>+S19</f>
        <v>125</v>
      </c>
      <c r="T20" s="152">
        <v>0</v>
      </c>
      <c r="U20" s="58"/>
      <c r="V20" s="130"/>
      <c r="W20" s="56"/>
      <c r="X20" s="56"/>
      <c r="Y20" s="56"/>
      <c r="Z20" s="56"/>
      <c r="AA20" s="56"/>
      <c r="AB20" s="56"/>
      <c r="AC20" s="63"/>
    </row>
    <row r="21" spans="1:29" ht="23.25" x14ac:dyDescent="0.35">
      <c r="A21" s="53"/>
      <c r="B21" s="76"/>
      <c r="C21" s="53"/>
      <c r="D21" s="53"/>
      <c r="E21" s="53"/>
      <c r="F21" s="185"/>
      <c r="G21" s="185"/>
      <c r="H21" s="180"/>
      <c r="I21" s="180"/>
      <c r="J21" s="180"/>
      <c r="K21" s="180"/>
      <c r="L21" s="180"/>
      <c r="M21" s="180"/>
      <c r="N21" s="180"/>
      <c r="O21" s="166"/>
      <c r="P21" s="166"/>
      <c r="Q21" s="167" t="s">
        <v>43</v>
      </c>
      <c r="R21" s="165">
        <f>+R20-S20</f>
        <v>0</v>
      </c>
      <c r="S21" s="168"/>
      <c r="T21" s="53"/>
      <c r="U21" s="159"/>
      <c r="V21" s="130"/>
      <c r="W21" s="56"/>
      <c r="X21" s="56"/>
      <c r="Y21" s="56"/>
      <c r="Z21" s="56"/>
      <c r="AA21" s="56"/>
      <c r="AB21" s="56"/>
      <c r="AC21" s="63"/>
    </row>
    <row r="22" spans="1:29" ht="21.75" x14ac:dyDescent="0.35">
      <c r="A22" s="56"/>
      <c r="B22" s="153" t="s">
        <v>196</v>
      </c>
      <c r="C22" s="131"/>
      <c r="D22" s="131"/>
      <c r="E22" s="131"/>
      <c r="F22" s="160"/>
      <c r="G22" s="130"/>
      <c r="H22" s="53"/>
      <c r="I22" s="56"/>
      <c r="J22" s="58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161"/>
      <c r="V22" s="130"/>
      <c r="W22" s="56"/>
      <c r="X22" s="56"/>
      <c r="Y22" s="56"/>
      <c r="Z22" s="56"/>
      <c r="AA22" s="56"/>
      <c r="AB22" s="56"/>
      <c r="AC22" s="63"/>
    </row>
    <row r="23" spans="1:29" ht="21" x14ac:dyDescent="0.35">
      <c r="A23" s="85"/>
      <c r="B23" s="154" t="s">
        <v>201</v>
      </c>
      <c r="C23" s="133"/>
      <c r="D23" s="133"/>
      <c r="E23" s="133"/>
      <c r="F23" s="162"/>
      <c r="G23" s="134"/>
      <c r="H23" s="58"/>
      <c r="I23" s="90"/>
      <c r="J23" s="90"/>
      <c r="K23" s="90"/>
      <c r="L23" s="90"/>
      <c r="M23" s="90"/>
      <c r="N23" s="90"/>
      <c r="O23" s="90"/>
      <c r="P23" s="90"/>
      <c r="Q23" s="90"/>
      <c r="R23" s="89"/>
      <c r="S23" s="90"/>
      <c r="T23" s="90"/>
      <c r="U23" s="163"/>
      <c r="V23" s="135"/>
      <c r="W23" s="90"/>
      <c r="X23" s="90"/>
      <c r="Y23" s="90"/>
      <c r="Z23" s="90"/>
      <c r="AA23" s="90"/>
      <c r="AB23" s="90"/>
      <c r="AC23" s="63"/>
    </row>
    <row r="24" spans="1:29" ht="41.45" customHeight="1" x14ac:dyDescent="0.25">
      <c r="A24" s="85"/>
      <c r="B24" s="136"/>
      <c r="C24" s="136"/>
      <c r="D24" s="136"/>
      <c r="E24" s="136"/>
      <c r="F24" s="134"/>
      <c r="G24" s="134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9"/>
      <c r="S24" s="90"/>
      <c r="T24" s="90"/>
      <c r="U24" s="163"/>
      <c r="V24" s="135"/>
      <c r="W24" s="90"/>
      <c r="X24" s="90"/>
      <c r="Y24" s="90"/>
      <c r="Z24" s="90"/>
      <c r="AA24" s="90"/>
      <c r="AB24" s="90"/>
      <c r="AC24" s="56"/>
    </row>
    <row r="25" spans="1:29" ht="15.75" thickBot="1" x14ac:dyDescent="0.3">
      <c r="A25" s="85"/>
      <c r="B25" s="92" t="s">
        <v>2</v>
      </c>
      <c r="C25" s="92">
        <v>1</v>
      </c>
      <c r="D25" s="92">
        <v>2</v>
      </c>
      <c r="E25" s="92">
        <v>3</v>
      </c>
      <c r="F25" s="92">
        <v>4</v>
      </c>
      <c r="G25" s="92">
        <v>5</v>
      </c>
      <c r="H25" s="92">
        <v>6</v>
      </c>
      <c r="I25" s="92">
        <v>7</v>
      </c>
      <c r="J25" s="92">
        <v>8</v>
      </c>
      <c r="K25" s="92">
        <v>9</v>
      </c>
      <c r="L25" s="92">
        <v>10</v>
      </c>
      <c r="M25" s="92">
        <v>11</v>
      </c>
      <c r="N25" s="92">
        <v>12</v>
      </c>
      <c r="O25" s="92">
        <v>13</v>
      </c>
      <c r="P25" s="92">
        <v>14</v>
      </c>
      <c r="Q25" s="92">
        <v>15</v>
      </c>
      <c r="R25" s="92">
        <v>16</v>
      </c>
      <c r="S25" s="92">
        <v>17</v>
      </c>
      <c r="T25" s="92">
        <v>18</v>
      </c>
      <c r="U25" s="92">
        <v>19</v>
      </c>
      <c r="V25" s="92">
        <v>20</v>
      </c>
      <c r="W25" s="92">
        <v>21</v>
      </c>
      <c r="X25" s="92">
        <v>22</v>
      </c>
      <c r="Y25" s="92">
        <v>23</v>
      </c>
      <c r="Z25" s="92">
        <v>24</v>
      </c>
      <c r="AA25" s="92">
        <v>25</v>
      </c>
      <c r="AB25" s="92">
        <v>26</v>
      </c>
      <c r="AC25" s="92" t="s">
        <v>77</v>
      </c>
    </row>
    <row r="26" spans="1:29" ht="82.15" customHeight="1" thickBot="1" x14ac:dyDescent="0.3">
      <c r="A26" s="85"/>
      <c r="B26" s="95" t="s">
        <v>4</v>
      </c>
      <c r="C26" s="96" t="s">
        <v>47</v>
      </c>
      <c r="D26" s="96" t="s">
        <v>48</v>
      </c>
      <c r="E26" s="97" t="s">
        <v>49</v>
      </c>
      <c r="F26" s="138" t="s">
        <v>9</v>
      </c>
      <c r="G26" s="138" t="s">
        <v>10</v>
      </c>
      <c r="H26" s="100" t="s">
        <v>11</v>
      </c>
      <c r="I26" s="100" t="s">
        <v>12</v>
      </c>
      <c r="J26" s="100" t="s">
        <v>13</v>
      </c>
      <c r="K26" s="100" t="s">
        <v>14</v>
      </c>
      <c r="L26" s="100" t="s">
        <v>15</v>
      </c>
      <c r="M26" s="100" t="s">
        <v>16</v>
      </c>
      <c r="N26" s="100" t="s">
        <v>17</v>
      </c>
      <c r="O26" s="102" t="s">
        <v>19</v>
      </c>
      <c r="P26" s="102" t="s">
        <v>21</v>
      </c>
      <c r="Q26" s="107" t="s">
        <v>28</v>
      </c>
      <c r="R26" s="108" t="s">
        <v>29</v>
      </c>
      <c r="S26" s="109" t="s">
        <v>30</v>
      </c>
      <c r="T26" s="110" t="s">
        <v>31</v>
      </c>
      <c r="U26" s="164" t="s">
        <v>32</v>
      </c>
      <c r="V26" s="139" t="s">
        <v>33</v>
      </c>
      <c r="W26" s="110" t="s">
        <v>34</v>
      </c>
      <c r="X26" s="110" t="s">
        <v>35</v>
      </c>
      <c r="Y26" s="110" t="s">
        <v>36</v>
      </c>
      <c r="Z26" s="156" t="s">
        <v>50</v>
      </c>
      <c r="AA26" s="156" t="s">
        <v>51</v>
      </c>
      <c r="AB26" s="158" t="s">
        <v>52</v>
      </c>
      <c r="AC26" s="110" t="s">
        <v>202</v>
      </c>
    </row>
    <row r="27" spans="1:29" x14ac:dyDescent="0.25">
      <c r="A27" s="1"/>
      <c r="B27" s="2">
        <v>1</v>
      </c>
      <c r="C27" s="4" t="s">
        <v>242</v>
      </c>
      <c r="D27" s="4" t="s">
        <v>53</v>
      </c>
      <c r="E27" s="4" t="s">
        <v>54</v>
      </c>
      <c r="F27" s="140" t="s">
        <v>243</v>
      </c>
      <c r="G27" s="140"/>
      <c r="H27" s="32" t="s">
        <v>55</v>
      </c>
      <c r="I27" s="32" t="s">
        <v>56</v>
      </c>
      <c r="J27" s="32">
        <v>100</v>
      </c>
      <c r="K27" s="6"/>
      <c r="L27" s="112">
        <v>6</v>
      </c>
      <c r="M27" s="112">
        <v>20334129595</v>
      </c>
      <c r="N27" s="3" t="s">
        <v>44</v>
      </c>
      <c r="O27" s="113">
        <v>21.19</v>
      </c>
      <c r="P27" s="113">
        <v>3.81</v>
      </c>
      <c r="Q27" s="37"/>
      <c r="R27" s="39"/>
      <c r="S27" s="113">
        <v>25</v>
      </c>
      <c r="T27" s="6" t="s">
        <v>41</v>
      </c>
      <c r="U27" s="114"/>
      <c r="V27" s="40"/>
      <c r="W27" s="33"/>
      <c r="X27" s="3"/>
      <c r="Y27" s="3"/>
      <c r="Z27" s="3"/>
      <c r="AA27" s="4" t="s">
        <v>57</v>
      </c>
      <c r="AB27" s="8" t="s">
        <v>76</v>
      </c>
      <c r="AC27" s="1"/>
    </row>
    <row r="28" spans="1:29" x14ac:dyDescent="0.25">
      <c r="A28" s="1"/>
      <c r="B28" s="2">
        <v>2</v>
      </c>
      <c r="C28" s="4" t="s">
        <v>242</v>
      </c>
      <c r="D28" s="4" t="s">
        <v>60</v>
      </c>
      <c r="E28" s="4" t="s">
        <v>65</v>
      </c>
      <c r="F28" s="40">
        <v>44849</v>
      </c>
      <c r="G28" s="40"/>
      <c r="H28" s="32" t="s">
        <v>55</v>
      </c>
      <c r="I28" s="32" t="s">
        <v>56</v>
      </c>
      <c r="J28" s="32">
        <v>101</v>
      </c>
      <c r="K28" s="6"/>
      <c r="L28" s="112">
        <v>6</v>
      </c>
      <c r="M28" s="112">
        <v>20122746292</v>
      </c>
      <c r="N28" s="3" t="s">
        <v>72</v>
      </c>
      <c r="O28" s="113">
        <v>21.19</v>
      </c>
      <c r="P28" s="113">
        <v>3.81</v>
      </c>
      <c r="Q28" s="37"/>
      <c r="R28" s="39"/>
      <c r="S28" s="113">
        <v>25</v>
      </c>
      <c r="T28" s="6" t="s">
        <v>74</v>
      </c>
      <c r="U28" s="114">
        <v>3.08</v>
      </c>
      <c r="V28" s="40"/>
      <c r="W28" s="33"/>
      <c r="X28" s="3"/>
      <c r="Y28" s="3"/>
      <c r="Z28" s="3"/>
      <c r="AA28" s="4" t="s">
        <v>57</v>
      </c>
      <c r="AB28" s="8" t="s">
        <v>76</v>
      </c>
      <c r="AC28" s="1"/>
    </row>
    <row r="29" spans="1:29" x14ac:dyDescent="0.25">
      <c r="A29" s="1"/>
      <c r="B29" s="2">
        <v>3</v>
      </c>
      <c r="C29" s="4" t="s">
        <v>242</v>
      </c>
      <c r="D29" s="4" t="s">
        <v>61</v>
      </c>
      <c r="E29" s="4" t="s">
        <v>66</v>
      </c>
      <c r="F29" s="40">
        <v>44849</v>
      </c>
      <c r="G29" s="40"/>
      <c r="H29" s="32" t="s">
        <v>55</v>
      </c>
      <c r="I29" s="32" t="s">
        <v>56</v>
      </c>
      <c r="J29" s="32">
        <v>102</v>
      </c>
      <c r="K29" s="6"/>
      <c r="L29" s="112">
        <v>6</v>
      </c>
      <c r="M29" s="112">
        <v>20378157138</v>
      </c>
      <c r="N29" s="3" t="s">
        <v>45</v>
      </c>
      <c r="O29" s="113">
        <v>21.19</v>
      </c>
      <c r="P29" s="113">
        <v>3.81</v>
      </c>
      <c r="Q29" s="37"/>
      <c r="R29" s="39"/>
      <c r="S29" s="113">
        <v>25</v>
      </c>
      <c r="T29" s="6" t="s">
        <v>41</v>
      </c>
      <c r="U29" s="114"/>
      <c r="V29" s="40"/>
      <c r="W29" s="33"/>
      <c r="X29" s="3"/>
      <c r="Y29" s="3"/>
      <c r="Z29" s="3"/>
      <c r="AA29" s="4" t="s">
        <v>57</v>
      </c>
      <c r="AB29" s="8" t="s">
        <v>76</v>
      </c>
      <c r="AC29" s="1" t="s">
        <v>214</v>
      </c>
    </row>
    <row r="30" spans="1:29" x14ac:dyDescent="0.25">
      <c r="A30" s="1"/>
      <c r="B30" s="2">
        <v>4</v>
      </c>
      <c r="C30" s="4" t="s">
        <v>242</v>
      </c>
      <c r="D30" s="4" t="s">
        <v>62</v>
      </c>
      <c r="E30" s="4" t="s">
        <v>67</v>
      </c>
      <c r="F30" s="40">
        <v>44849</v>
      </c>
      <c r="G30" s="40"/>
      <c r="H30" s="32" t="s">
        <v>39</v>
      </c>
      <c r="I30" s="32" t="s">
        <v>40</v>
      </c>
      <c r="J30" s="32">
        <v>384</v>
      </c>
      <c r="K30" s="6"/>
      <c r="L30" s="112">
        <v>1</v>
      </c>
      <c r="M30" s="112">
        <v>76789887</v>
      </c>
      <c r="N30" s="3" t="s">
        <v>73</v>
      </c>
      <c r="O30" s="113">
        <v>21.19</v>
      </c>
      <c r="P30" s="113">
        <v>3.81</v>
      </c>
      <c r="Q30" s="37"/>
      <c r="R30" s="39"/>
      <c r="S30" s="113">
        <v>25</v>
      </c>
      <c r="T30" s="6" t="s">
        <v>41</v>
      </c>
      <c r="U30" s="114"/>
      <c r="V30" s="40"/>
      <c r="W30" s="33"/>
      <c r="X30" s="3"/>
      <c r="Y30" s="3"/>
      <c r="Z30" s="3"/>
      <c r="AA30" s="4" t="s">
        <v>57</v>
      </c>
      <c r="AB30" s="8" t="s">
        <v>59</v>
      </c>
      <c r="AC30" s="1"/>
    </row>
    <row r="31" spans="1:29" x14ac:dyDescent="0.25">
      <c r="A31" s="1"/>
      <c r="B31" s="2">
        <v>5</v>
      </c>
      <c r="C31" s="4" t="s">
        <v>242</v>
      </c>
      <c r="D31" s="4" t="s">
        <v>63</v>
      </c>
      <c r="E31" s="4" t="s">
        <v>68</v>
      </c>
      <c r="F31" s="40">
        <v>44849</v>
      </c>
      <c r="G31" s="40"/>
      <c r="H31" s="32" t="s">
        <v>39</v>
      </c>
      <c r="I31" s="32" t="s">
        <v>40</v>
      </c>
      <c r="J31" s="32">
        <v>385</v>
      </c>
      <c r="K31" s="32" t="s">
        <v>215</v>
      </c>
      <c r="L31" s="112"/>
      <c r="M31" s="112"/>
      <c r="N31" s="3"/>
      <c r="O31" s="113">
        <v>21.19</v>
      </c>
      <c r="P31" s="113">
        <v>3.81</v>
      </c>
      <c r="Q31" s="37"/>
      <c r="R31" s="39"/>
      <c r="S31" s="113">
        <v>25</v>
      </c>
      <c r="T31" s="6" t="s">
        <v>41</v>
      </c>
      <c r="U31" s="114"/>
      <c r="V31" s="40"/>
      <c r="W31" s="33"/>
      <c r="X31" s="3"/>
      <c r="Y31" s="3"/>
      <c r="Z31" s="3"/>
      <c r="AA31" s="4" t="s">
        <v>57</v>
      </c>
      <c r="AB31" s="8" t="s">
        <v>76</v>
      </c>
      <c r="AC31" s="1"/>
    </row>
    <row r="32" spans="1:29" x14ac:dyDescent="0.25">
      <c r="B32" s="2">
        <v>6</v>
      </c>
      <c r="C32" s="4" t="s">
        <v>242</v>
      </c>
      <c r="D32" s="4" t="s">
        <v>64</v>
      </c>
      <c r="E32" s="4" t="s">
        <v>69</v>
      </c>
      <c r="F32" s="40">
        <v>44849</v>
      </c>
      <c r="G32" s="40"/>
      <c r="H32" s="32" t="s">
        <v>70</v>
      </c>
      <c r="I32" s="32" t="s">
        <v>56</v>
      </c>
      <c r="J32" s="32">
        <v>2</v>
      </c>
      <c r="K32" s="32"/>
      <c r="L32" s="112">
        <v>6</v>
      </c>
      <c r="M32" s="112">
        <v>20334129595</v>
      </c>
      <c r="N32" s="3" t="s">
        <v>44</v>
      </c>
      <c r="O32" s="113">
        <v>-21.19</v>
      </c>
      <c r="P32" s="113">
        <v>-3.81</v>
      </c>
      <c r="Q32" s="37"/>
      <c r="R32" s="39"/>
      <c r="S32" s="113">
        <v>-25</v>
      </c>
      <c r="T32" s="6" t="s">
        <v>41</v>
      </c>
      <c r="U32" s="114"/>
      <c r="V32" s="111" t="s">
        <v>244</v>
      </c>
      <c r="W32" s="32" t="s">
        <v>55</v>
      </c>
      <c r="X32" s="116" t="s">
        <v>213</v>
      </c>
      <c r="Y32" s="41">
        <v>100</v>
      </c>
      <c r="Z32" s="3"/>
      <c r="AA32" s="4" t="s">
        <v>57</v>
      </c>
      <c r="AB32" s="8" t="s">
        <v>59</v>
      </c>
      <c r="AC32" s="1"/>
    </row>
    <row r="33" spans="2:28" x14ac:dyDescent="0.25">
      <c r="B33" s="2">
        <v>7</v>
      </c>
      <c r="C33" s="4" t="s">
        <v>242</v>
      </c>
      <c r="D33" s="4" t="s">
        <v>222</v>
      </c>
      <c r="E33" s="4" t="s">
        <v>221</v>
      </c>
      <c r="F33" s="40">
        <v>44849</v>
      </c>
      <c r="G33" s="40"/>
      <c r="H33" s="32" t="s">
        <v>71</v>
      </c>
      <c r="I33" s="32" t="s">
        <v>56</v>
      </c>
      <c r="J33" s="32">
        <v>3</v>
      </c>
      <c r="K33" s="32"/>
      <c r="L33" s="112">
        <v>6</v>
      </c>
      <c r="M33" s="112">
        <v>20378157138</v>
      </c>
      <c r="N33" s="3" t="s">
        <v>45</v>
      </c>
      <c r="O33" s="113">
        <v>21.19</v>
      </c>
      <c r="P33" s="113">
        <v>3.81</v>
      </c>
      <c r="Q33" s="37"/>
      <c r="R33" s="38"/>
      <c r="S33" s="113">
        <v>25</v>
      </c>
      <c r="T33" s="6" t="s">
        <v>41</v>
      </c>
      <c r="U33" s="114"/>
      <c r="V33" s="115">
        <v>44571</v>
      </c>
      <c r="W33" s="32" t="s">
        <v>55</v>
      </c>
      <c r="X33" s="116" t="s">
        <v>213</v>
      </c>
      <c r="Y33" s="41">
        <v>65</v>
      </c>
      <c r="AA33" s="1">
        <v>1</v>
      </c>
      <c r="AB33" s="2">
        <v>9</v>
      </c>
    </row>
  </sheetData>
  <sheetProtection algorithmName="SHA-512" hashValue="AYztoCsW4UpCluPX0pjjemJVPq3nOjYQNfxW1ZsbbD8uvPh8hH0kZs89t9lKFNAPRExGeGH1qAufumCI3/cAtw==" saltValue="s4fEKhyucAQinmpwzxDanQ==" spinCount="100000" sheet="1" objects="1" scenarios="1" formatCells="0" formatColumns="0" formatRows="0" insertColumns="0" insertRows="0" deleteColumns="0" deleteRows="0" sort="0" autoFilter="0" pivotTables="0"/>
  <mergeCells count="1">
    <mergeCell ref="E4:G4"/>
  </mergeCells>
  <hyperlinks>
    <hyperlink ref="L17" r:id="rId1" xr:uid="{F19CD529-9E20-4DCB-87D5-A2F00F2CB572}"/>
    <hyperlink ref="L19" r:id="rId2" xr:uid="{D371D89B-0179-469E-AA26-5DF8A07C74EA}"/>
    <hyperlink ref="L18" r:id="rId3" xr:uid="{7644A760-B7AE-4B9E-8098-B67A4FC50849}"/>
  </hyperlinks>
  <pageMargins left="0.7" right="0.7" top="0.75" bottom="0.75" header="0.3" footer="0.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D6FA7BA-4EE0-4753-BFA7-836908D624D0}">
          <x14:formula1>
            <xm:f>Hoja1!$D$2:$D$13</xm:f>
          </x14:formula1>
          <xm:sqref>D6</xm:sqref>
        </x14:dataValidation>
        <x14:dataValidation type="list" allowBlank="1" showInputMessage="1" showErrorMessage="1" xr:uid="{D91D4E78-7802-4AA9-AB75-5BE79597E3E3}">
          <x14:formula1>
            <xm:f>Hoja1!$F$2:$F$4</xm:f>
          </x14:formula1>
          <xm:sqref>D10</xm:sqref>
        </x14:dataValidation>
        <x14:dataValidation type="list" allowBlank="1" showInputMessage="1" showErrorMessage="1" xr:uid="{9F15FC61-49D7-4915-AB8F-4A19A0AE500B}">
          <x14:formula1>
            <xm:f>Hoja1!$F$2:$F$3</xm:f>
          </x14:formula1>
          <xm:sqref>D11</xm:sqref>
        </x14:dataValidation>
        <x14:dataValidation type="list" allowBlank="1" showInputMessage="1" showErrorMessage="1" xr:uid="{9E40B87B-F0EC-47A8-A6EA-0E5741A0F0AA}">
          <x14:formula1>
            <xm:f>Hoja1!$F$3:$F$4</xm:f>
          </x14:formula1>
          <xm:sqref>D12:D13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Hoja1</vt:lpstr>
      <vt:lpstr>TXT</vt:lpstr>
      <vt:lpstr>ANEXO 2-AGREGAR</vt:lpstr>
      <vt:lpstr>ANEXO 3-COMP O REEM</vt:lpstr>
      <vt:lpstr>ANEXO 4-AJUSTE SIRE</vt:lpstr>
      <vt:lpstr>ANEXO 5-AJUSTE PLE PORT</vt:lpstr>
      <vt:lpstr>ANEXO 5-AJUSTE PLE PORT SIMP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KERNEL</cp:lastModifiedBy>
  <dcterms:created xsi:type="dcterms:W3CDTF">2023-07-15T00:41:29Z</dcterms:created>
  <dcterms:modified xsi:type="dcterms:W3CDTF">2023-09-09T01:15:18Z</dcterms:modified>
</cp:coreProperties>
</file>